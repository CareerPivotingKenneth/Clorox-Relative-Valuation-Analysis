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rtfolio Project 3\"/>
    </mc:Choice>
  </mc:AlternateContent>
  <xr:revisionPtr revIDLastSave="0" documentId="8_{C2F7839E-021D-43F2-B6BA-DB1555765095}" xr6:coauthVersionLast="47" xr6:coauthVersionMax="47" xr10:uidLastSave="{00000000-0000-0000-0000-000000000000}"/>
  <bookViews>
    <workbookView xWindow="-108" yWindow="-108" windowWidth="23256" windowHeight="12576" xr2:uid="{E3E3BFEF-1574-4450-9229-1A1A7767B8B9}"/>
  </bookViews>
  <sheets>
    <sheet name="Tidy Calcula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1" l="1"/>
  <c r="C7" i="1"/>
  <c r="D7" i="1"/>
  <c r="E7" i="1"/>
  <c r="F7" i="1"/>
  <c r="G7" i="1"/>
  <c r="H7" i="1"/>
  <c r="I7" i="1"/>
  <c r="J7" i="1"/>
  <c r="K7" i="1"/>
  <c r="L7" i="1"/>
  <c r="M7" i="1"/>
  <c r="N7" i="1"/>
</calcChain>
</file>

<file path=xl/sharedStrings.xml><?xml version="1.0" encoding="utf-8"?>
<sst xmlns="http://schemas.openxmlformats.org/spreadsheetml/2006/main" count="20" uniqueCount="20">
  <si>
    <t>Peer Median</t>
  </si>
  <si>
    <t>Church &amp; Dwight</t>
  </si>
  <si>
    <t xml:space="preserve">Kimberly-Clark </t>
  </si>
  <si>
    <t>Colgate-Palmolive</t>
  </si>
  <si>
    <t xml:space="preserve">Procter &amp; Gamble </t>
  </si>
  <si>
    <t xml:space="preserve">Clorox </t>
  </si>
  <si>
    <t>Cash-to-Debt</t>
  </si>
  <si>
    <t>Debt-to-Equity</t>
  </si>
  <si>
    <t>EPS CARG (3 Years)</t>
  </si>
  <si>
    <t>Net Income CAGR</t>
  </si>
  <si>
    <t>Operating Income CAGR</t>
  </si>
  <si>
    <t>Revenue CAGR</t>
  </si>
  <si>
    <t>ROE</t>
  </si>
  <si>
    <t>ROA</t>
  </si>
  <si>
    <t xml:space="preserve">Net Margin </t>
  </si>
  <si>
    <t xml:space="preserve">Operating Margin </t>
  </si>
  <si>
    <t>EV/EBITDA</t>
  </si>
  <si>
    <t xml:space="preserve">Price to Book </t>
  </si>
  <si>
    <t>Price-to-Earnings</t>
  </si>
  <si>
    <t xml:space="preserve">Companies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</si>
</sst>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&quot;x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0AC4F-6805-412F-9738-08E046E10A5D}">
  <dimension ref="A1:N7"/>
  <sheetViews>
    <sheetView tabSelected="1" workbookViewId="0">
      <selection activeCell="E16" sqref="E16"/>
    </sheetView>
  </sheetViews>
  <sheetFormatPr defaultRowHeight="14.4" x14ac:dyDescent="0.3"/>
  <cols>
    <col min="1" max="1" width="16" bestFit="1" customWidth="1"/>
    <col min="2" max="2" width="15.44140625" bestFit="1" customWidth="1"/>
    <col min="3" max="3" width="12.5546875" bestFit="1" customWidth="1"/>
    <col min="4" max="4" width="12" bestFit="1" customWidth="1"/>
    <col min="5" max="5" width="16.33203125" bestFit="1" customWidth="1"/>
    <col min="6" max="6" width="11" bestFit="1" customWidth="1"/>
    <col min="7" max="7" width="12" bestFit="1" customWidth="1"/>
    <col min="8" max="8" width="12" customWidth="1"/>
    <col min="9" max="9" width="13.5546875" bestFit="1" customWidth="1"/>
    <col min="10" max="10" width="21.5546875" bestFit="1" customWidth="1"/>
    <col min="11" max="11" width="16" bestFit="1" customWidth="1"/>
    <col min="12" max="12" width="17" bestFit="1" customWidth="1"/>
    <col min="13" max="13" width="13.5546875" bestFit="1" customWidth="1"/>
    <col min="14" max="14" width="12.109375" bestFit="1" customWidth="1"/>
  </cols>
  <sheetData>
    <row r="1" spans="1:14" s="3" customFormat="1" x14ac:dyDescent="0.3">
      <c r="A1" s="3" t="s">
        <v>19</v>
      </c>
      <c r="B1" s="4" t="s">
        <v>18</v>
      </c>
      <c r="C1" s="4" t="s">
        <v>17</v>
      </c>
      <c r="D1" s="4" t="s">
        <v>16</v>
      </c>
      <c r="E1" s="4" t="s">
        <v>15</v>
      </c>
      <c r="F1" s="4" t="s">
        <v>14</v>
      </c>
      <c r="G1" s="4" t="s">
        <v>13</v>
      </c>
      <c r="H1" s="4" t="s">
        <v>12</v>
      </c>
      <c r="I1" s="4" t="s">
        <v>11</v>
      </c>
      <c r="J1" s="4" t="s">
        <v>10</v>
      </c>
      <c r="K1" s="4" t="s">
        <v>9</v>
      </c>
      <c r="L1" s="4" t="s">
        <v>8</v>
      </c>
      <c r="M1" s="4" t="s">
        <v>7</v>
      </c>
      <c r="N1" s="4" t="s">
        <v>6</v>
      </c>
    </row>
    <row r="2" spans="1:14" x14ac:dyDescent="0.3">
      <c r="A2" t="s">
        <v>5</v>
      </c>
      <c r="B2" s="1">
        <v>17.920997920997923</v>
      </c>
      <c r="C2" s="1">
        <v>41.654761904761905</v>
      </c>
      <c r="D2" s="1">
        <v>13.994736842105263</v>
      </c>
      <c r="E2" s="2">
        <v>0.13586309523809523</v>
      </c>
      <c r="F2" s="2">
        <v>8.7351190476190471E-2</v>
      </c>
      <c r="G2" s="2">
        <v>7.5314344367462149E-2</v>
      </c>
      <c r="H2" s="2">
        <v>2.3293650793650795</v>
      </c>
      <c r="I2" s="2">
        <v>-1.3900498161393826E-2</v>
      </c>
      <c r="J2" s="2">
        <v>5.0394353600168973E-2</v>
      </c>
      <c r="K2" s="2">
        <v>6.1693189374749213E-2</v>
      </c>
      <c r="L2" s="2">
        <v>0.58850264916558759</v>
      </c>
      <c r="M2" s="1">
        <v>22.222222222222221</v>
      </c>
      <c r="N2" s="1">
        <v>2.5535714285714287E-2</v>
      </c>
    </row>
    <row r="3" spans="1:14" x14ac:dyDescent="0.3">
      <c r="A3" t="s">
        <v>4</v>
      </c>
      <c r="B3" s="1">
        <v>23.728096676737163</v>
      </c>
      <c r="C3" s="1">
        <v>6.8780909944578443</v>
      </c>
      <c r="D3" s="1">
        <v>16.106505050505049</v>
      </c>
      <c r="E3" s="2">
        <v>0.22690504641970768</v>
      </c>
      <c r="F3" s="2">
        <v>0.18436896773600514</v>
      </c>
      <c r="G3" s="2">
        <v>0.12682479588368728</v>
      </c>
      <c r="H3" s="2">
        <v>0.29544659461250944</v>
      </c>
      <c r="I3" s="2">
        <v>2.0689740597511719E-2</v>
      </c>
      <c r="J3" s="2">
        <v>2.6116125555549097E-2</v>
      </c>
      <c r="K3" s="2">
        <v>2.1415855733719846E-2</v>
      </c>
      <c r="L3" s="2">
        <v>3.9127071473470387E-2</v>
      </c>
      <c r="M3" s="1">
        <v>0.64480491981366572</v>
      </c>
      <c r="N3" s="1">
        <v>0.28383780696744715</v>
      </c>
    </row>
    <row r="4" spans="1:14" x14ac:dyDescent="0.3">
      <c r="A4" t="s">
        <v>3</v>
      </c>
      <c r="B4" s="1">
        <v>36.484251968503941</v>
      </c>
      <c r="C4" s="1">
        <v>130.8833922261484</v>
      </c>
      <c r="D4" s="1">
        <v>16.162650602409638</v>
      </c>
      <c r="E4" s="2">
        <v>0.14871478120397205</v>
      </c>
      <c r="F4" s="2">
        <v>9.6830902266356253E-2</v>
      </c>
      <c r="G4" s="2">
        <v>0.12138177486599167</v>
      </c>
      <c r="H4" s="2">
        <v>3.6007067137809186</v>
      </c>
      <c r="I4" s="2">
        <v>4.0348052001791368E-2</v>
      </c>
      <c r="J4" s="2">
        <v>1.9879766777048058E-2</v>
      </c>
      <c r="K4" s="2">
        <v>3.3692796479837916E-2</v>
      </c>
      <c r="L4" s="2">
        <v>-2.848096122266186E-2</v>
      </c>
      <c r="M4" s="1">
        <v>4.194236926360726</v>
      </c>
      <c r="N4" s="1">
        <v>0.18447837150127228</v>
      </c>
    </row>
    <row r="5" spans="1:14" x14ac:dyDescent="0.3">
      <c r="A5" t="s">
        <v>2</v>
      </c>
      <c r="B5" s="1">
        <v>17.729131175468481</v>
      </c>
      <c r="C5" s="1">
        <v>18.422091782283886</v>
      </c>
      <c r="D5" s="1">
        <v>11.525</v>
      </c>
      <c r="E5" s="2">
        <v>0.15162846803377564</v>
      </c>
      <c r="F5" s="2">
        <v>0.11791314837153197</v>
      </c>
      <c r="G5" s="2">
        <v>0.10536811469224965</v>
      </c>
      <c r="H5" s="2">
        <v>1.0432230522945571</v>
      </c>
      <c r="I5" s="2">
        <v>2.7326807029341982E-3</v>
      </c>
      <c r="J5" s="2">
        <v>3.3916933187891019E-2</v>
      </c>
      <c r="K5" s="2">
        <v>2.7035972466620262E-3</v>
      </c>
      <c r="L5" s="2">
        <v>4.0559198337166924E-2</v>
      </c>
      <c r="M5" s="1">
        <v>3.4898612593383138</v>
      </c>
      <c r="N5" s="1">
        <v>0.14617737003058104</v>
      </c>
    </row>
    <row r="6" spans="1:14" x14ac:dyDescent="0.3">
      <c r="A6" t="s">
        <v>1</v>
      </c>
      <c r="B6" s="1">
        <v>33.03846153846154</v>
      </c>
      <c r="C6" s="1">
        <v>5.6118036708220247</v>
      </c>
      <c r="D6" s="1">
        <v>19.684592592592594</v>
      </c>
      <c r="E6" s="2">
        <v>0.17466407667239248</v>
      </c>
      <c r="F6" s="2">
        <v>0.11956783483970396</v>
      </c>
      <c r="G6" s="2">
        <v>8.1794919665703889E-2</v>
      </c>
      <c r="H6" s="2">
        <v>0.17130502783016696</v>
      </c>
      <c r="I6" s="2">
        <v>3.7527434950005212E-2</v>
      </c>
      <c r="J6" s="2">
        <v>0.16149741120892536</v>
      </c>
      <c r="K6" s="2">
        <v>0.15820666660968863</v>
      </c>
      <c r="L6" s="2">
        <v>7.5924815563626069E-3</v>
      </c>
      <c r="M6" s="1">
        <v>0.55890335342012054</v>
      </c>
      <c r="N6" s="1">
        <v>0.10485596707818931</v>
      </c>
    </row>
    <row r="7" spans="1:14" x14ac:dyDescent="0.3">
      <c r="A7" t="s">
        <v>0</v>
      </c>
      <c r="B7" s="1">
        <f>MEDIAN(B3:B6)</f>
        <v>28.38327910759935</v>
      </c>
      <c r="C7" s="1">
        <f>MEDIAN(C3:C6)</f>
        <v>12.650091388370864</v>
      </c>
      <c r="D7" s="1">
        <f>MEDIAN(D3:D6)</f>
        <v>16.134577826457345</v>
      </c>
      <c r="E7" s="2">
        <f>MEDIAN(E3:E6)</f>
        <v>0.16314627235308404</v>
      </c>
      <c r="F7" s="2">
        <f>MEDIAN(F3:F6)</f>
        <v>0.11874049160561796</v>
      </c>
      <c r="G7" s="2">
        <f>MEDIAN(G3:G6)</f>
        <v>0.11337494477912066</v>
      </c>
      <c r="H7" s="2">
        <f>MEDIAN(H3:H6)</f>
        <v>0.66933482345353323</v>
      </c>
      <c r="I7" s="2">
        <f>MEDIAN(I3:I6)</f>
        <v>2.9108587773758465E-2</v>
      </c>
      <c r="J7" s="2">
        <f>MEDIAN(J3:J6)</f>
        <v>3.0016529371720058E-2</v>
      </c>
      <c r="K7" s="2">
        <f>MEDIAN(K3:K6)</f>
        <v>2.7554326106778881E-2</v>
      </c>
      <c r="L7" s="2">
        <f>MEDIAN(L3:L6)</f>
        <v>2.3359776514916497E-2</v>
      </c>
      <c r="M7" s="1">
        <f>MEDIAN(M3:M6)</f>
        <v>2.0673330895759898</v>
      </c>
      <c r="N7" s="1">
        <f>MEDIAN(N3:N6)</f>
        <v>0.16532787076592664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Tidy 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2026-10-23T15:53:48Z</dcterms:created>
  <dcterms:modified xsi:type="dcterms:W3CDTF">2026-10-23T15:54:30Z</dcterms:modified>
</cp:coreProperties>
</file>