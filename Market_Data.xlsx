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ortfolio Project 3\"/>
    </mc:Choice>
  </mc:AlternateContent>
  <xr:revisionPtr revIDLastSave="0" documentId="13_ncr:1_{50BB79E6-B2A0-426E-8D6D-077E5CDEAB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rket Data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2" l="1"/>
  <c r="D19" i="2"/>
  <c r="L8" i="2"/>
  <c r="H8" i="2"/>
  <c r="D8" i="2"/>
</calcChain>
</file>

<file path=xl/sharedStrings.xml><?xml version="1.0" encoding="utf-8"?>
<sst xmlns="http://schemas.openxmlformats.org/spreadsheetml/2006/main" count="39" uniqueCount="11">
  <si>
    <t xml:space="preserve">Procter &amp; Gamble </t>
  </si>
  <si>
    <t>Colgate-Palmolive</t>
  </si>
  <si>
    <t>Common Valuation Date</t>
  </si>
  <si>
    <t xml:space="preserve">Closing Share Price </t>
  </si>
  <si>
    <t xml:space="preserve">Shares Outstanding </t>
  </si>
  <si>
    <t>Market Capitalization</t>
  </si>
  <si>
    <t>Total Debt (mrq)</t>
  </si>
  <si>
    <t>Cash (mrq)</t>
  </si>
  <si>
    <t>EBITDA (TTM)</t>
  </si>
  <si>
    <t>Kimberly-Clark</t>
  </si>
  <si>
    <t>Church &amp; Dwight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</si>
</sst>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mm\-yyyy"/>
    <numFmt numFmtId="165" formatCode="&quot;$&quot;#,##0.00"/>
    <numFmt numFmtId="166" formatCode="&quot;$&quot;#,##0&quot;M&quot;"/>
    <numFmt numFmtId="167" formatCode="&quot;$&quot;#,##0.0&quot;M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/>
    <xf numFmtId="165" fontId="3" fillId="0" borderId="0" xfId="0" applyNumberFormat="1" applyFont="1"/>
    <xf numFmtId="165" fontId="1" fillId="0" borderId="0" xfId="0" applyNumberFormat="1" applyFon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548640</xdr:colOff>
      <xdr:row>1</xdr:row>
      <xdr:rowOff>175260</xdr:rowOff>
    </xdr:from>
    <xdr:to>
      <xdr:col>2</xdr:col>
      <xdr:colOff>1234439</xdr:colOff>
      <xdr:row>3</xdr:row>
      <xdr:rowOff>228601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890A99-3BEC-46F7-BE98-2B2FA62371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53" b="35294"/>
        <a:stretch/>
      </xdr:blipFill>
      <xdr:spPr>
        <a:xfrm>
          <a:off x="1158240" y="358140"/>
          <a:ext cx="1295399" cy="419101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571501</xdr:colOff>
      <xdr:row>1</xdr:row>
      <xdr:rowOff>169092</xdr:rowOff>
    </xdr:from>
    <xdr:to>
      <xdr:col>6</xdr:col>
      <xdr:colOff>472441</xdr:colOff>
      <xdr:row>4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1FC198-FABA-440C-A5EE-F9749D2AFE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54" t="13274" r="23893" b="15929"/>
        <a:stretch/>
      </xdr:blipFill>
      <xdr:spPr>
        <a:xfrm>
          <a:off x="5105401" y="351972"/>
          <a:ext cx="510540" cy="486228"/>
        </a:xfrm>
        <a:prstGeom prst="rect">
          <a:avLst/>
        </a:prstGeom>
      </xdr:spPr>
    </xdr:pic>
    <xdr:clientData/>
  </xdr:twoCellAnchor>
  <xdr:twoCellAnchor editAs="oneCell">
    <xdr:from>
      <xdr:col>9</xdr:col>
      <xdr:colOff>449580</xdr:colOff>
      <xdr:row>2</xdr:row>
      <xdr:rowOff>79057</xdr:rowOff>
    </xdr:from>
    <xdr:to>
      <xdr:col>10</xdr:col>
      <xdr:colOff>571500</xdr:colOff>
      <xdr:row>4</xdr:row>
      <xdr:rowOff>71438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64EA23-0CF0-443E-9505-8F1520501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7780" y="444817"/>
          <a:ext cx="731520" cy="411481"/>
        </a:xfrm>
        <a:prstGeom prst="rect">
          <a:avLst/>
        </a:prstGeom>
      </xdr:spPr>
    </xdr:pic>
    <xdr:clientData/>
  </xdr:twoCellAnchor>
  <xdr:twoCellAnchor editAs="oneCell">
    <xdr:from>
      <xdr:col>1</xdr:col>
      <xdr:colOff>579121</xdr:colOff>
      <xdr:row>12</xdr:row>
      <xdr:rowOff>165218</xdr:rowOff>
    </xdr:from>
    <xdr:to>
      <xdr:col>2</xdr:col>
      <xdr:colOff>541021</xdr:colOff>
      <xdr:row>15</xdr:row>
      <xdr:rowOff>60959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EFE4F0-2E81-4318-807D-EA322A87F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1" y="2420738"/>
          <a:ext cx="571500" cy="497721"/>
        </a:xfrm>
        <a:prstGeom prst="rect">
          <a:avLst/>
        </a:prstGeom>
      </xdr:spPr>
    </xdr:pic>
    <xdr:clientData/>
  </xdr:twoCellAnchor>
  <xdr:twoCellAnchor editAs="oneCell">
    <xdr:from>
      <xdr:col>6</xdr:col>
      <xdr:colOff>22861</xdr:colOff>
      <xdr:row>12</xdr:row>
      <xdr:rowOff>152399</xdr:rowOff>
    </xdr:from>
    <xdr:to>
      <xdr:col>6</xdr:col>
      <xdr:colOff>518160</xdr:colOff>
      <xdr:row>15</xdr:row>
      <xdr:rowOff>45718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50FF058-5F16-4906-84B6-2C6897A8E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6361" y="2407919"/>
          <a:ext cx="495299" cy="495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2EEC-328F-4981-A886-672E6B5721CF}">
  <dimension ref="C4:L22"/>
  <sheetViews>
    <sheetView showGridLines="0" tabSelected="1" workbookViewId="0">
      <selection activeCell="M17" sqref="M17"/>
    </sheetView>
  </sheetViews>
  <sheetFormatPr defaultRowHeight="14.4" x14ac:dyDescent="0.3"/>
  <cols>
    <col min="3" max="3" width="21.33203125" bestFit="1" customWidth="1"/>
    <col min="4" max="4" width="18.109375" bestFit="1" customWidth="1"/>
    <col min="7" max="7" width="21.33203125" bestFit="1" customWidth="1"/>
    <col min="8" max="8" width="18.109375" bestFit="1" customWidth="1"/>
    <col min="11" max="11" width="21.33203125" bestFit="1" customWidth="1"/>
    <col min="12" max="12" width="17" bestFit="1" customWidth="1"/>
    <col min="15" max="15" width="21.33203125" bestFit="1" customWidth="1"/>
    <col min="16" max="16" width="17" bestFit="1" customWidth="1"/>
    <col min="19" max="19" width="21.33203125" bestFit="1" customWidth="1"/>
    <col min="20" max="20" width="17" bestFit="1" customWidth="1"/>
  </cols>
  <sheetData>
    <row r="4" spans="3:12" ht="18.600000000000001" thickBot="1" x14ac:dyDescent="0.35">
      <c r="C4" s="1"/>
      <c r="D4" s="1"/>
      <c r="G4" s="2" t="s">
        <v>0</v>
      </c>
      <c r="H4" s="2"/>
      <c r="K4" s="2" t="s">
        <v>1</v>
      </c>
      <c r="L4" s="2"/>
    </row>
    <row r="5" spans="3:12" ht="15" thickTop="1" x14ac:dyDescent="0.3">
      <c r="C5" s="3" t="s">
        <v>2</v>
      </c>
      <c r="D5" s="4">
        <v>46310</v>
      </c>
      <c r="G5" s="3" t="s">
        <v>2</v>
      </c>
      <c r="H5" s="4">
        <v>46310</v>
      </c>
      <c r="K5" s="3" t="s">
        <v>2</v>
      </c>
      <c r="L5" s="4">
        <v>46310</v>
      </c>
    </row>
    <row r="6" spans="3:12" x14ac:dyDescent="0.3">
      <c r="C6" s="3" t="s">
        <v>3</v>
      </c>
      <c r="D6" s="5">
        <v>86.2</v>
      </c>
      <c r="G6" s="3" t="s">
        <v>3</v>
      </c>
      <c r="H6" s="6">
        <v>157.08000000000001</v>
      </c>
      <c r="K6" s="3" t="s">
        <v>3</v>
      </c>
      <c r="L6" s="6">
        <v>92.67</v>
      </c>
    </row>
    <row r="7" spans="3:12" x14ac:dyDescent="0.3">
      <c r="C7" s="3" t="s">
        <v>4</v>
      </c>
      <c r="D7" s="7">
        <v>121775000</v>
      </c>
      <c r="G7" s="3" t="s">
        <v>4</v>
      </c>
      <c r="H7" s="7">
        <v>2378125000</v>
      </c>
      <c r="K7" s="3" t="s">
        <v>4</v>
      </c>
      <c r="L7" s="7">
        <v>799400000</v>
      </c>
    </row>
    <row r="8" spans="3:12" x14ac:dyDescent="0.3">
      <c r="C8" s="3" t="s">
        <v>5</v>
      </c>
      <c r="D8" s="8">
        <f>ROUND(D7*D6/1000000,0)</f>
        <v>10497</v>
      </c>
      <c r="G8" s="3" t="s">
        <v>5</v>
      </c>
      <c r="H8" s="8">
        <f>ROUND(H6*H7/1000000,0)</f>
        <v>373556</v>
      </c>
      <c r="K8" s="3" t="s">
        <v>5</v>
      </c>
      <c r="L8" s="8">
        <f>ROUND(L6*L7/1000000,0)</f>
        <v>74080</v>
      </c>
    </row>
    <row r="9" spans="3:12" x14ac:dyDescent="0.3">
      <c r="C9" s="3" t="s">
        <v>6</v>
      </c>
      <c r="D9" s="8">
        <v>5600</v>
      </c>
      <c r="G9" s="3" t="s">
        <v>6</v>
      </c>
      <c r="H9" s="8">
        <v>35020</v>
      </c>
      <c r="K9" s="3" t="s">
        <v>6</v>
      </c>
      <c r="L9" s="8">
        <v>7860</v>
      </c>
    </row>
    <row r="10" spans="3:12" x14ac:dyDescent="0.3">
      <c r="C10" s="3" t="s">
        <v>7</v>
      </c>
      <c r="D10" s="8">
        <v>143</v>
      </c>
      <c r="G10" s="3" t="s">
        <v>7</v>
      </c>
      <c r="H10" s="8">
        <v>9940</v>
      </c>
      <c r="K10" s="3" t="s">
        <v>7</v>
      </c>
      <c r="L10" s="8">
        <v>1450</v>
      </c>
    </row>
    <row r="11" spans="3:12" x14ac:dyDescent="0.3">
      <c r="C11" s="3" t="s">
        <v>8</v>
      </c>
      <c r="D11" s="8">
        <v>1140</v>
      </c>
      <c r="G11" s="3" t="s">
        <v>8</v>
      </c>
      <c r="H11" s="8">
        <v>24750</v>
      </c>
      <c r="K11" s="3" t="s">
        <v>8</v>
      </c>
      <c r="L11" s="8">
        <v>4980</v>
      </c>
    </row>
    <row r="15" spans="3:12" ht="18.600000000000001" thickBot="1" x14ac:dyDescent="0.35">
      <c r="C15" s="2" t="s">
        <v>9</v>
      </c>
      <c r="D15" s="2"/>
      <c r="G15" s="2" t="s">
        <v>10</v>
      </c>
      <c r="H15" s="2"/>
    </row>
    <row r="16" spans="3:12" ht="15" thickTop="1" x14ac:dyDescent="0.3">
      <c r="C16" s="3" t="s">
        <v>2</v>
      </c>
      <c r="D16" s="4">
        <v>46310</v>
      </c>
      <c r="G16" s="3" t="s">
        <v>2</v>
      </c>
      <c r="H16" s="4">
        <v>46310</v>
      </c>
    </row>
    <row r="17" spans="3:8" x14ac:dyDescent="0.3">
      <c r="C17" s="3" t="s">
        <v>3</v>
      </c>
      <c r="D17" s="6">
        <v>104.07</v>
      </c>
      <c r="G17" s="3" t="s">
        <v>3</v>
      </c>
      <c r="H17" s="6">
        <v>103.08</v>
      </c>
    </row>
    <row r="18" spans="3:8" x14ac:dyDescent="0.3">
      <c r="C18" s="3" t="s">
        <v>4</v>
      </c>
      <c r="D18" s="7">
        <v>331730769</v>
      </c>
      <c r="G18" s="3" t="s">
        <v>4</v>
      </c>
      <c r="H18" s="7">
        <v>236700000</v>
      </c>
    </row>
    <row r="19" spans="3:8" x14ac:dyDescent="0.3">
      <c r="C19" s="3" t="s">
        <v>5</v>
      </c>
      <c r="D19" s="8">
        <f>ROUND(D17*D18/1000000,0)</f>
        <v>34523</v>
      </c>
      <c r="G19" s="3" t="s">
        <v>5</v>
      </c>
      <c r="H19" s="8">
        <f>ROUND(H17*H18/1000000,0)</f>
        <v>24399</v>
      </c>
    </row>
    <row r="20" spans="3:8" x14ac:dyDescent="0.3">
      <c r="C20" s="3" t="s">
        <v>6</v>
      </c>
      <c r="D20" s="8">
        <v>6540</v>
      </c>
      <c r="G20" s="3" t="s">
        <v>6</v>
      </c>
      <c r="H20" s="8">
        <v>2430</v>
      </c>
    </row>
    <row r="21" spans="3:8" x14ac:dyDescent="0.3">
      <c r="C21" s="3" t="s">
        <v>7</v>
      </c>
      <c r="D21" s="8">
        <v>956</v>
      </c>
      <c r="G21" s="3" t="s">
        <v>7</v>
      </c>
      <c r="H21" s="9">
        <v>254.8</v>
      </c>
    </row>
    <row r="22" spans="3:8" x14ac:dyDescent="0.3">
      <c r="C22" s="3" t="s">
        <v>8</v>
      </c>
      <c r="D22" s="8">
        <v>3480</v>
      </c>
      <c r="G22" s="3" t="s">
        <v>8</v>
      </c>
      <c r="H22" s="8">
        <v>1350</v>
      </c>
    </row>
  </sheetData>
  <mergeCells count="4">
    <mergeCell ref="G4:H4"/>
    <mergeCell ref="K4:L4"/>
    <mergeCell ref="C15:D15"/>
    <mergeCell ref="G15:H15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2026-10-23T15:50:11Z</dcterms:modified>
</cp:coreProperties>
</file>