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8_{0382D96C-3EFF-484F-9CE1-CF1E00A3B084}" xr6:coauthVersionLast="47" xr6:coauthVersionMax="47" xr10:uidLastSave="{00000000-0000-0000-0000-000000000000}"/>
  <bookViews>
    <workbookView xWindow="-108" yWindow="-108" windowWidth="23256" windowHeight="12576" xr2:uid="{583F094C-1E2F-48AB-B850-C554ED72BF43}"/>
  </bookViews>
  <sheets>
    <sheet name="Tidy Marke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B7" i="1"/>
  <c r="C7" i="1"/>
  <c r="D7" i="1"/>
  <c r="E7" i="1"/>
  <c r="F7" i="1"/>
  <c r="G7" i="1"/>
</calcChain>
</file>

<file path=xl/sharedStrings.xml><?xml version="1.0" encoding="utf-8"?>
<sst xmlns="http://schemas.openxmlformats.org/spreadsheetml/2006/main" count="13" uniqueCount="13">
  <si>
    <t>Peer Median</t>
  </si>
  <si>
    <t>Church &amp; Dwight</t>
  </si>
  <si>
    <t xml:space="preserve">Kimberly-Clark </t>
  </si>
  <si>
    <t>Colgate-Palmolive</t>
  </si>
  <si>
    <t xml:space="preserve">Procter &amp; Gamble </t>
  </si>
  <si>
    <t xml:space="preserve">Clorox </t>
  </si>
  <si>
    <t>EBITDA (TTM)</t>
  </si>
  <si>
    <t>Cash (mrq)</t>
  </si>
  <si>
    <t>Total Debt (mrq)</t>
  </si>
  <si>
    <t>Market Capitalization</t>
  </si>
  <si>
    <t xml:space="preserve">Shares Outstanding </t>
  </si>
  <si>
    <t xml:space="preserve">Closing Share Price 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</si>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</sst>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&quot;M&quot;"/>
    <numFmt numFmtId="165" formatCode="&quot;$&quot;#,##0.00"/>
    <numFmt numFmtId="166" formatCode="&quot;$&quot;#,##0.0&quot;M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1" fillId="0" borderId="0" xfId="0" applyNumberFormat="1" applyFont="1"/>
    <xf numFmtId="166" fontId="0" fillId="0" borderId="0" xfId="0" applyNumberFormat="1"/>
    <xf numFmtId="165" fontId="2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633-310C-4B9B-96A8-5F38B443A072}">
  <dimension ref="A1:G7"/>
  <sheetViews>
    <sheetView tabSelected="1" workbookViewId="0">
      <selection activeCell="B9" sqref="B9"/>
    </sheetView>
  </sheetViews>
  <sheetFormatPr defaultRowHeight="14.4" x14ac:dyDescent="0.3"/>
  <cols>
    <col min="1" max="1" width="16" bestFit="1" customWidth="1"/>
    <col min="2" max="2" width="16.77734375" bestFit="1" customWidth="1"/>
    <col min="3" max="3" width="17.21875" bestFit="1" customWidth="1"/>
    <col min="4" max="4" width="18.6640625" bestFit="1" customWidth="1"/>
    <col min="5" max="5" width="14.44140625" bestFit="1" customWidth="1"/>
    <col min="6" max="6" width="9.6640625" bestFit="1" customWidth="1"/>
    <col min="7" max="7" width="12.21875" bestFit="1" customWidth="1"/>
  </cols>
  <sheetData>
    <row r="1" spans="1:7" x14ac:dyDescent="0.3">
      <c r="A1" s="7" t="s">
        <v>12</v>
      </c>
      <c r="B1" s="6" t="s">
        <v>11</v>
      </c>
      <c r="C1" s="6" t="s">
        <v>10</v>
      </c>
      <c r="D1" s="6" t="s">
        <v>9</v>
      </c>
      <c r="E1" s="6" t="s">
        <v>8</v>
      </c>
      <c r="F1" s="6" t="s">
        <v>7</v>
      </c>
      <c r="G1" s="6" t="s">
        <v>6</v>
      </c>
    </row>
    <row r="2" spans="1:7" x14ac:dyDescent="0.3">
      <c r="A2" t="s">
        <v>5</v>
      </c>
      <c r="B2" s="5">
        <v>86.2</v>
      </c>
      <c r="C2" s="2">
        <v>121775000</v>
      </c>
      <c r="D2" s="1">
        <f>ROUND(C2*B2/1000000,0)</f>
        <v>10497</v>
      </c>
      <c r="E2" s="1">
        <v>5600</v>
      </c>
      <c r="F2" s="1">
        <v>143</v>
      </c>
      <c r="G2" s="1">
        <v>1140</v>
      </c>
    </row>
    <row r="3" spans="1:7" x14ac:dyDescent="0.3">
      <c r="A3" t="s">
        <v>4</v>
      </c>
      <c r="B3" s="3">
        <v>157.08000000000001</v>
      </c>
      <c r="C3" s="2">
        <v>2378125000</v>
      </c>
      <c r="D3" s="1">
        <f>ROUND(B3*C3/1000000,0)</f>
        <v>373556</v>
      </c>
      <c r="E3" s="1">
        <v>35020</v>
      </c>
      <c r="F3" s="1">
        <v>9940</v>
      </c>
      <c r="G3" s="1">
        <v>24750</v>
      </c>
    </row>
    <row r="4" spans="1:7" x14ac:dyDescent="0.3">
      <c r="A4" t="s">
        <v>3</v>
      </c>
      <c r="B4" s="3">
        <v>92.67</v>
      </c>
      <c r="C4" s="2">
        <v>799400000</v>
      </c>
      <c r="D4" s="1">
        <f>ROUND(B4*C4/1000000,0)</f>
        <v>74080</v>
      </c>
      <c r="E4" s="1">
        <v>7860</v>
      </c>
      <c r="F4" s="1">
        <v>1450</v>
      </c>
      <c r="G4" s="1">
        <v>4980</v>
      </c>
    </row>
    <row r="5" spans="1:7" x14ac:dyDescent="0.3">
      <c r="A5" t="s">
        <v>2</v>
      </c>
      <c r="B5" s="3">
        <v>104.07</v>
      </c>
      <c r="C5" s="2">
        <v>331730769</v>
      </c>
      <c r="D5" s="1">
        <f>ROUND(B5*C5/1000000,0)</f>
        <v>34523</v>
      </c>
      <c r="E5" s="1">
        <v>6540</v>
      </c>
      <c r="F5" s="1">
        <v>956</v>
      </c>
      <c r="G5" s="1">
        <v>3480</v>
      </c>
    </row>
    <row r="6" spans="1:7" x14ac:dyDescent="0.3">
      <c r="A6" t="s">
        <v>1</v>
      </c>
      <c r="B6" s="3">
        <v>103.08</v>
      </c>
      <c r="C6" s="2">
        <v>236700000</v>
      </c>
      <c r="D6" s="1">
        <f>ROUND(B6*C6/1000000,0)</f>
        <v>24399</v>
      </c>
      <c r="E6" s="1">
        <v>2430</v>
      </c>
      <c r="F6" s="4">
        <v>254.8</v>
      </c>
      <c r="G6" s="1">
        <v>1350</v>
      </c>
    </row>
    <row r="7" spans="1:7" x14ac:dyDescent="0.3">
      <c r="A7" t="s">
        <v>0</v>
      </c>
      <c r="B7" s="3">
        <f>MEDIAN(B3:B6)</f>
        <v>103.57499999999999</v>
      </c>
      <c r="C7" s="2">
        <f>MEDIAN(C3:C6)</f>
        <v>565565384.5</v>
      </c>
      <c r="D7" s="1">
        <f>MEDIAN(D3:D6)</f>
        <v>54301.5</v>
      </c>
      <c r="E7" s="1">
        <f>MEDIAN(E3:E6)</f>
        <v>7200</v>
      </c>
      <c r="F7" s="1">
        <f>MEDIAN(F3:F6)</f>
        <v>1203</v>
      </c>
      <c r="G7" s="1">
        <f>MEDIAN(G3:G6)</f>
        <v>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 Market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2026-10-23T15:55:12Z</dcterms:created>
  <dcterms:modified xsi:type="dcterms:W3CDTF">2026-10-23T15:55:32Z</dcterms:modified>
</cp:coreProperties>
</file>