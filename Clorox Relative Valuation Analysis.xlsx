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ortfolio Project 3\"/>
    </mc:Choice>
  </mc:AlternateContent>
  <xr:revisionPtr revIDLastSave="0" documentId="13_ncr:1_{6CFEA398-E486-4D69-ABBC-29F769E9D6B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aw_Financial" sheetId="4" r:id="rId1"/>
    <sheet name="Market Data " sheetId="1" r:id="rId2"/>
    <sheet name="Calculations " sheetId="2" r:id="rId3"/>
    <sheet name="Peer Comparison" sheetId="5" r:id="rId4"/>
    <sheet name="Sources" sheetId="10" r:id="rId5"/>
    <sheet name="Tidy Calculations" sheetId="12" r:id="rId6"/>
    <sheet name="Tidy Market Data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3" l="1"/>
  <c r="D3" i="13"/>
  <c r="D4" i="13"/>
  <c r="D5" i="13"/>
  <c r="D6" i="13"/>
  <c r="B7" i="13"/>
  <c r="C7" i="13"/>
  <c r="D7" i="13"/>
  <c r="E7" i="13"/>
  <c r="F7" i="13"/>
  <c r="G7" i="13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H19" i="1"/>
  <c r="J20" i="5"/>
  <c r="J21" i="5"/>
  <c r="G21" i="5"/>
  <c r="G20" i="5"/>
  <c r="D21" i="5"/>
  <c r="D20" i="5"/>
  <c r="J16" i="5"/>
  <c r="J17" i="5"/>
  <c r="J18" i="5"/>
  <c r="J15" i="5"/>
  <c r="G18" i="5"/>
  <c r="G17" i="5"/>
  <c r="G16" i="5"/>
  <c r="G15" i="5"/>
  <c r="D16" i="5"/>
  <c r="D17" i="5"/>
  <c r="D18" i="5"/>
  <c r="D15" i="5"/>
  <c r="D40" i="2"/>
  <c r="D39" i="2"/>
  <c r="D13" i="2"/>
  <c r="D118" i="2"/>
  <c r="D117" i="2"/>
  <c r="D92" i="2"/>
  <c r="D91" i="2"/>
  <c r="D66" i="2"/>
  <c r="D65" i="2"/>
  <c r="D14" i="2"/>
  <c r="D67" i="2"/>
  <c r="D126" i="2"/>
  <c r="D128" i="2"/>
  <c r="D129" i="2" s="1"/>
  <c r="D127" i="2"/>
  <c r="D123" i="2"/>
  <c r="D122" i="2"/>
  <c r="D93" i="2"/>
  <c r="D119" i="2"/>
  <c r="D116" i="2"/>
  <c r="D113" i="2"/>
  <c r="D112" i="2"/>
  <c r="D111" i="2"/>
  <c r="D110" i="2"/>
  <c r="D109" i="2"/>
  <c r="D102" i="2"/>
  <c r="D103" i="2" s="1"/>
  <c r="D101" i="2"/>
  <c r="D100" i="2"/>
  <c r="D97" i="2"/>
  <c r="D96" i="2"/>
  <c r="D90" i="2"/>
  <c r="D87" i="2"/>
  <c r="D86" i="2"/>
  <c r="D85" i="2"/>
  <c r="D84" i="2"/>
  <c r="D83" i="2"/>
  <c r="D76" i="2"/>
  <c r="D77" i="2" s="1"/>
  <c r="D74" i="2"/>
  <c r="D75" i="2"/>
  <c r="D71" i="2"/>
  <c r="D70" i="2"/>
  <c r="D64" i="2"/>
  <c r="D60" i="2"/>
  <c r="D61" i="2"/>
  <c r="D59" i="2"/>
  <c r="D58" i="2"/>
  <c r="D57" i="2"/>
  <c r="D50" i="2"/>
  <c r="D51" i="2" s="1"/>
  <c r="D49" i="2"/>
  <c r="D48" i="2"/>
  <c r="D44" i="2"/>
  <c r="D45" i="2"/>
  <c r="D41" i="2"/>
  <c r="D38" i="2"/>
  <c r="D9" i="2"/>
  <c r="D12" i="5" s="1"/>
  <c r="D35" i="2"/>
  <c r="D34" i="2"/>
  <c r="D33" i="2"/>
  <c r="D32" i="2"/>
  <c r="D31" i="2"/>
  <c r="D24" i="2"/>
  <c r="D25" i="2" s="1"/>
  <c r="D8" i="5" s="1"/>
  <c r="D23" i="2"/>
  <c r="D7" i="5" s="1"/>
  <c r="D19" i="1"/>
  <c r="L8" i="1"/>
  <c r="H8" i="1"/>
  <c r="D8" i="1"/>
  <c r="D19" i="2"/>
  <c r="D18" i="2"/>
  <c r="D22" i="2"/>
  <c r="D6" i="5" s="1"/>
  <c r="D15" i="2"/>
  <c r="D12" i="2"/>
  <c r="D8" i="2"/>
  <c r="D13" i="5" s="1"/>
  <c r="D7" i="2"/>
  <c r="D11" i="5" s="1"/>
  <c r="D5" i="2"/>
  <c r="D6" i="2"/>
  <c r="D10" i="5" s="1"/>
  <c r="G7" i="5" l="1"/>
  <c r="G10" i="5"/>
  <c r="J10" i="5" s="1" a="1"/>
  <c r="J10" i="5" s="1"/>
  <c r="G12" i="5"/>
  <c r="J12" i="5" s="1" a="1"/>
  <c r="J12" i="5" s="1"/>
  <c r="G11" i="5"/>
  <c r="J11" i="5" s="1" a="1"/>
  <c r="J11" i="5" s="1"/>
  <c r="G6" i="5"/>
  <c r="J6" i="5" s="1"/>
  <c r="G13" i="5"/>
  <c r="J13" i="5" s="1" a="1"/>
  <c r="J13" i="5" s="1"/>
  <c r="J7" i="5"/>
  <c r="G8" i="5"/>
  <c r="J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<sst xmlns="http://schemas.openxmlformats.org/spreadsheetml/2006/main" count="311" uniqueCount="120">
  <si>
    <t xml:space="preserve">Shares Outstanding </t>
  </si>
  <si>
    <t>Market Capitalization</t>
  </si>
  <si>
    <t xml:space="preserve">Closing Share Price </t>
  </si>
  <si>
    <t>Common Valuation Date</t>
  </si>
  <si>
    <t xml:space="preserve">Procter &amp; Gamble </t>
  </si>
  <si>
    <t>Colgate-Palmolive</t>
  </si>
  <si>
    <t>Kimberly-Clark</t>
  </si>
  <si>
    <t>Church &amp; Dwight</t>
  </si>
  <si>
    <t>Total Debt (mrq)</t>
  </si>
  <si>
    <t>Cash (mrq)</t>
  </si>
  <si>
    <t>EBITDA (TTM)</t>
  </si>
  <si>
    <t>Ticker Symbol</t>
  </si>
  <si>
    <t>NYSE:CLX</t>
  </si>
  <si>
    <t xml:space="preserve">Revenue </t>
  </si>
  <si>
    <t xml:space="preserve">Operating Income </t>
  </si>
  <si>
    <t xml:space="preserve">Net Income </t>
  </si>
  <si>
    <t xml:space="preserve">Basic EPS </t>
  </si>
  <si>
    <t>Diluted EPS</t>
  </si>
  <si>
    <t>Total Assets</t>
  </si>
  <si>
    <t xml:space="preserve">Total Equities </t>
  </si>
  <si>
    <t xml:space="preserve">Operating Cash Flow </t>
  </si>
  <si>
    <t xml:space="preserve">Capital Expenditures </t>
  </si>
  <si>
    <t>Procter and Gamble</t>
  </si>
  <si>
    <t>NYSE:PG</t>
  </si>
  <si>
    <t>Total Equity</t>
  </si>
  <si>
    <t>NYSE:CL</t>
  </si>
  <si>
    <t>(TTM)2026</t>
  </si>
  <si>
    <t>NASDAQ: KMB</t>
  </si>
  <si>
    <t>NYSE:CHD</t>
  </si>
  <si>
    <t xml:space="preserve">PROFITABLITY </t>
  </si>
  <si>
    <t xml:space="preserve">Gross Margin </t>
  </si>
  <si>
    <t xml:space="preserve">Operational Margin </t>
  </si>
  <si>
    <t>Net Margin</t>
  </si>
  <si>
    <t>GROWTH</t>
  </si>
  <si>
    <t xml:space="preserve">FINANCIAL HEALTH </t>
  </si>
  <si>
    <t>Debt-to-Equity</t>
  </si>
  <si>
    <t>Cash-to-Debt</t>
  </si>
  <si>
    <t>VALUATION</t>
  </si>
  <si>
    <t>P/E</t>
  </si>
  <si>
    <t>P/B</t>
  </si>
  <si>
    <t xml:space="preserve">EV </t>
  </si>
  <si>
    <t>EV/EBITDA</t>
  </si>
  <si>
    <t>Procter &amp; Gamble</t>
  </si>
  <si>
    <t>Gross Profit</t>
  </si>
  <si>
    <t>ROE</t>
  </si>
  <si>
    <t>ROA</t>
  </si>
  <si>
    <t>Price-to-Earnings</t>
  </si>
  <si>
    <t xml:space="preserve">Price to Book </t>
  </si>
  <si>
    <t xml:space="preserve">Operating Margin </t>
  </si>
  <si>
    <t xml:space="preserve">Net Margin </t>
  </si>
  <si>
    <t>EPS CARG (3 Years)</t>
  </si>
  <si>
    <t xml:space="preserve">PEERS </t>
  </si>
  <si>
    <t>Revenue CAGR</t>
  </si>
  <si>
    <t>Operating Income CAGR</t>
  </si>
  <si>
    <t>Net Income CAGR</t>
  </si>
  <si>
    <t xml:space="preserve">EPS CAGR (3 years) </t>
  </si>
  <si>
    <t>Companies</t>
  </si>
  <si>
    <t xml:space="preserve">Clorox </t>
  </si>
  <si>
    <t xml:space="preserve">Companies </t>
  </si>
  <si>
    <t xml:space="preserve">Kimberly-Clark </t>
  </si>
  <si>
    <t>Peer Median</t>
  </si>
  <si>
    <t>Relative Difference</t>
  </si>
  <si>
    <t xml:space="preserve">References: </t>
  </si>
  <si>
    <t>Clorox 2026 Annual Report</t>
  </si>
  <si>
    <t>https://s204.q4cdn.com/178752512/files/doc_financials/2026/ar/The-Clorox-Company-FY26-Integrated-Annual-Report.pdf</t>
  </si>
  <si>
    <t xml:space="preserve">Clorox 2023 Annual Report </t>
  </si>
  <si>
    <t>Clorox 2023 Integrated Annual Report</t>
  </si>
  <si>
    <t xml:space="preserve">Clorox Shares Outstanding &amp; Market Capitalization </t>
  </si>
  <si>
    <t>https://companiesmarketcap.com/clorox/shares-outstanding/</t>
  </si>
  <si>
    <t xml:space="preserve">Clorox Share Price, Debt, Cash, and EBITDA (October 15, 2026) </t>
  </si>
  <si>
    <t>https://finance.yahoo.com/quote/CLX/key-statistics/</t>
  </si>
  <si>
    <t>Clorox Cyberattack (August 2023) leading to IT overhaul and cost drag</t>
  </si>
  <si>
    <t>https://www.reuters.com/business/retail-consumer/clorox-expects-quarterly-loss-hit-cyberattack-2023-10-04/</t>
  </si>
  <si>
    <t>https://www.cybersecuritydive.com/news/clorox-warns-shortages-cyberattack/694030/</t>
  </si>
  <si>
    <t xml:space="preserve">Pine-sol Recall (2022) due to contamination of household cleaner products </t>
  </si>
  <si>
    <t>https://www.courthousenews.com/clorox-customer-brings-class-action-over-contaminated-household-cleaners/</t>
  </si>
  <si>
    <r>
      <rPr>
        <sz val="11"/>
        <rFont val="Calibri"/>
        <family val="2"/>
        <scheme val="minor"/>
      </rPr>
      <t>Mistolin and Lestoil Recall followed by 14.15 Million Civil Fine (January 2026)</t>
    </r>
    <r>
      <rPr>
        <u/>
        <sz val="11"/>
        <color theme="10"/>
        <rFont val="Calibri"/>
        <family val="2"/>
        <scheme val="minor"/>
      </rPr>
      <t xml:space="preserve"> </t>
    </r>
  </si>
  <si>
    <t>https://www.cpsc.gov/Newsroom/News-Releases/2026/Clorox-Agrees-to-Pay-14-15-Million-Civil-Penalty-for-Failure-to-Immediately-Report-Bacterial-Hazard-with-Pine-Sol-Scented-Multi-Surface-Cleaning-Products</t>
  </si>
  <si>
    <t xml:space="preserve">P&amp;G 2026 Annual Report </t>
  </si>
  <si>
    <t>P&amp;G 2026 Annual Report</t>
  </si>
  <si>
    <t xml:space="preserve">P&amp;G 2023 Annual Report </t>
  </si>
  <si>
    <t>https://s204.q4cdn.com/332108499/files/doc_financials/2023/ar/2023_annual_report.pdf</t>
  </si>
  <si>
    <t xml:space="preserve">P&amp;G Share Outstanding &amp; Market Capitalization </t>
  </si>
  <si>
    <t>https://companiesmarketcap.com/procter-and-gamble/shares-outstanding/</t>
  </si>
  <si>
    <t>P&amp;G Share Price, Debt, Cash and EBITDA (October 15, 2026)</t>
  </si>
  <si>
    <t>https://finance.yahoo.com/quote/PG/key-statistics/</t>
  </si>
  <si>
    <t xml:space="preserve">Colgate-Palmolive 2025 Annual Report </t>
  </si>
  <si>
    <t>4298e292-4aaf-4b10-8953-aad27c1065d7</t>
  </si>
  <si>
    <t>Colgate Palmolive 2nd Quarter of 2026 Report (10-Q)</t>
  </si>
  <si>
    <t>https://www.businesswire.com/news/home/20260731119013/en/Colgate-Announces-2nd-Quarter-2026-Results</t>
  </si>
  <si>
    <t xml:space="preserve">Colgate-Palmolive 2023 Annual Report </t>
  </si>
  <si>
    <t>https://investor.colgatepalmolive.com/static-files/66a06161-3df3-46eb-a860-831e49b961b4</t>
  </si>
  <si>
    <t xml:space="preserve">Colgate-Palmolive Shares Outstanding &amp; Market Capitalization </t>
  </si>
  <si>
    <t>https://companiesmarketcap.com/colgate-palmolive/shares-outstanding/</t>
  </si>
  <si>
    <t xml:space="preserve">Colgate-Palmolive Share Price, Debt, Cash and EBITDA (October 15,2026) </t>
  </si>
  <si>
    <t>https://finance.yahoo.com/quote/CL/key-statistics/</t>
  </si>
  <si>
    <t xml:space="preserve">Kimberly-Clark 2025 Annual Report </t>
  </si>
  <si>
    <t>Form 10-K for Kimberly Clark Corp filed 02/12/2026</t>
  </si>
  <si>
    <t xml:space="preserve">Kimberly-Clark 2nd Quarter of 2026 Report (10-Q) </t>
  </si>
  <si>
    <t>https://companiesmarketcap.com/quarterly-reports/265.qr.en.2026-q2.pdf</t>
  </si>
  <si>
    <t xml:space="preserve">Kimberly-Clark 2023 Annual Report </t>
  </si>
  <si>
    <t>https://companiesmarketcap.com/annual-reports/265.ar.en.2023.pdf</t>
  </si>
  <si>
    <t xml:space="preserve">Kimberly-Clark Shares Outstanding &amp; Market Capitalization </t>
  </si>
  <si>
    <t>https://companiesmarketcap.com/kimberly-clark/shares-outstanding/</t>
  </si>
  <si>
    <t xml:space="preserve">Kimberly-Clark Share Price, Debt, Cash and EBITDA (October 15, 2026) </t>
  </si>
  <si>
    <t>https://finance.yahoo.com/quote/KMB/key-statistics/</t>
  </si>
  <si>
    <t>Kimberly-Clark Warehouse Arson Incident in Ontario California (April 2026)</t>
  </si>
  <si>
    <t>https://www.youtube.com/watch?v=-itGnOjElRM</t>
  </si>
  <si>
    <t>Suzano-Divestiture (2026)</t>
  </si>
  <si>
    <t>https://www.cnbc.com/2025/06/05/kimberly-clark-to-sell-international-tissue-business.html</t>
  </si>
  <si>
    <t xml:space="preserve">Church &amp; Dwight 2025 Annual Report </t>
  </si>
  <si>
    <t>https://s203.q4cdn.com/233583214/files/doc_financials/2025/ar/Final-Annual-Report-740f0f.pdf</t>
  </si>
  <si>
    <t>Church &amp; Dwight 2nd Quarter of 2026 Quarterly Report (10-Q)</t>
  </si>
  <si>
    <t>https://s203.q4cdn.com/233583214/files/doc_earnings/2026/q2/earnings-result/Press-Release-Q2-2026.pdf</t>
  </si>
  <si>
    <t>Church &amp; Dwight 2023 Annual Report (10-K)</t>
  </si>
  <si>
    <t>https://www.sec.gov/Archives/edgar/data/313927/000095017024015810/chd-20231231.htm</t>
  </si>
  <si>
    <t xml:space="preserve">Church &amp; Dwight Shares Outstanding &amp; Market Capitalization </t>
  </si>
  <si>
    <t>https://companiesmarketcap.com/church-and-dwight/shares-outstanding/</t>
  </si>
  <si>
    <t xml:space="preserve">Church &amp; Dwight Share Price, Debt, Cash, EBITDA (October 15, 2026) </t>
  </si>
  <si>
    <t>https://finance.yahoo.com/quote/CHD/key-statistics/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</si>
</sst>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164" formatCode="&quot;$&quot;#,##0.00"/>
    <numFmt numFmtId="165" formatCode="d\-mmm\-yyyy"/>
    <numFmt numFmtId="166" formatCode="&quot;$&quot;#,##0.0"/>
    <numFmt numFmtId="167" formatCode="&quot;$&quot;#,##0&quot;M&quot;"/>
    <numFmt numFmtId="168" formatCode="&quot;$&quot;#,##0.0&quot;M&quot;"/>
    <numFmt numFmtId="169" formatCode="#,##0.00&quot;x&quot;"/>
    <numFmt numFmtId="170" formatCode="0.00&quot;x&quot;"/>
    <numFmt numFmtId="171" formatCode="0.000&quot;x&quot;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8CDE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22C2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/>
    <xf numFmtId="164" fontId="4" fillId="0" borderId="0" xfId="0" applyNumberFormat="1" applyFon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2" fillId="0" borderId="0" xfId="0" applyNumberFormat="1" applyFont="1"/>
    <xf numFmtId="167" fontId="0" fillId="0" borderId="0" xfId="0" applyNumberFormat="1"/>
    <xf numFmtId="168" fontId="0" fillId="0" borderId="0" xfId="0" applyNumberFormat="1"/>
    <xf numFmtId="0" fontId="5" fillId="0" borderId="1" xfId="0" applyFont="1" applyBorder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4" fillId="2" borderId="3" xfId="0" applyFont="1" applyFill="1" applyBorder="1" applyAlignment="1">
      <alignment horizontal="center" vertical="center"/>
    </xf>
    <xf numFmtId="167" fontId="0" fillId="3" borderId="3" xfId="0" applyNumberFormat="1" applyFill="1" applyBorder="1"/>
    <xf numFmtId="8" fontId="0" fillId="3" borderId="3" xfId="0" applyNumberFormat="1" applyFill="1" applyBorder="1"/>
    <xf numFmtId="0" fontId="3" fillId="0" borderId="1" xfId="0" applyFont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168" fontId="0" fillId="3" borderId="3" xfId="0" applyNumberFormat="1" applyFill="1" applyBorder="1"/>
    <xf numFmtId="164" fontId="0" fillId="3" borderId="3" xfId="0" applyNumberFormat="1" applyFill="1" applyBorder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0" fillId="0" borderId="0" xfId="0" applyAlignment="1">
      <alignment horizontal="center"/>
    </xf>
    <xf numFmtId="10" fontId="0" fillId="3" borderId="3" xfId="0" applyNumberFormat="1" applyFill="1" applyBorder="1"/>
    <xf numFmtId="170" fontId="0" fillId="3" borderId="3" xfId="0" applyNumberFormat="1" applyFill="1" applyBorder="1"/>
    <xf numFmtId="171" fontId="0" fillId="3" borderId="3" xfId="0" applyNumberFormat="1" applyFill="1" applyBorder="1"/>
    <xf numFmtId="169" fontId="0" fillId="3" borderId="3" xfId="0" applyNumberFormat="1" applyFill="1" applyBorder="1"/>
    <xf numFmtId="2" fontId="0" fillId="3" borderId="3" xfId="0" applyNumberFormat="1" applyFill="1" applyBorder="1"/>
    <xf numFmtId="170" fontId="0" fillId="3" borderId="4" xfId="0" applyNumberFormat="1" applyFill="1" applyBorder="1"/>
    <xf numFmtId="170" fontId="0" fillId="3" borderId="5" xfId="0" applyNumberFormat="1" applyFill="1" applyBorder="1"/>
    <xf numFmtId="170" fontId="0" fillId="3" borderId="6" xfId="0" applyNumberFormat="1" applyFill="1" applyBorder="1"/>
    <xf numFmtId="0" fontId="0" fillId="0" borderId="0" xfId="0" applyAlignment="1">
      <alignment wrapText="1"/>
    </xf>
    <xf numFmtId="170" fontId="0" fillId="0" borderId="0" xfId="0" applyNumberFormat="1"/>
    <xf numFmtId="10" fontId="0" fillId="0" borderId="0" xfId="0" applyNumberFormat="1"/>
    <xf numFmtId="0" fontId="6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579121</xdr:colOff>
      <xdr:row>1</xdr:row>
      <xdr:rowOff>144780</xdr:rowOff>
    </xdr:from>
    <xdr:to>
      <xdr:col>2</xdr:col>
      <xdr:colOff>1264920</xdr:colOff>
      <xdr:row>3</xdr:row>
      <xdr:rowOff>198121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A7662-D43B-4576-987F-F6F9C973A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53" b="35294"/>
        <a:stretch/>
      </xdr:blipFill>
      <xdr:spPr>
        <a:xfrm>
          <a:off x="1188721" y="327660"/>
          <a:ext cx="1295399" cy="419101"/>
        </a:xfrm>
        <a:prstGeom prst="rect">
          <a:avLst/>
        </a:prstGeom>
      </xdr:spPr>
    </xdr:pic>
    <xdr:clientData/>
  </xdr:twoCellAnchor>
  <xdr:twoCellAnchor editAs="oneCell">
    <xdr:from>
      <xdr:col>1</xdr:col>
      <xdr:colOff>518159</xdr:colOff>
      <xdr:row>21</xdr:row>
      <xdr:rowOff>106680</xdr:rowOff>
    </xdr:from>
    <xdr:to>
      <xdr:col>2</xdr:col>
      <xdr:colOff>548640</xdr:colOff>
      <xdr:row>24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E51108-B6FB-449C-8EA0-0F8F941699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54" t="13274" r="23893" b="15929"/>
        <a:stretch/>
      </xdr:blipFill>
      <xdr:spPr>
        <a:xfrm>
          <a:off x="1127759" y="3977640"/>
          <a:ext cx="640081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472440</xdr:colOff>
      <xdr:row>41</xdr:row>
      <xdr:rowOff>18096</xdr:rowOff>
    </xdr:from>
    <xdr:to>
      <xdr:col>2</xdr:col>
      <xdr:colOff>670560</xdr:colOff>
      <xdr:row>43</xdr:row>
      <xdr:rowOff>53339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5330A5-B3B9-4E52-8940-4AD804CCB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" y="7607616"/>
          <a:ext cx="807720" cy="454343"/>
        </a:xfrm>
        <a:prstGeom prst="rect">
          <a:avLst/>
        </a:prstGeom>
      </xdr:spPr>
    </xdr:pic>
    <xdr:clientData/>
  </xdr:twoCellAnchor>
  <xdr:twoCellAnchor editAs="oneCell">
    <xdr:from>
      <xdr:col>2</xdr:col>
      <xdr:colOff>16316</xdr:colOff>
      <xdr:row>58</xdr:row>
      <xdr:rowOff>68580</xdr:rowOff>
    </xdr:from>
    <xdr:to>
      <xdr:col>2</xdr:col>
      <xdr:colOff>716279</xdr:colOff>
      <xdr:row>61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4A11D6-4EEA-4AEA-B0D1-5C35E00F0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516" y="10828020"/>
          <a:ext cx="699963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495301</xdr:colOff>
      <xdr:row>76</xdr:row>
      <xdr:rowOff>59055</xdr:rowOff>
    </xdr:from>
    <xdr:to>
      <xdr:col>2</xdr:col>
      <xdr:colOff>685800</xdr:colOff>
      <xdr:row>80</xdr:row>
      <xdr:rowOff>74294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7601DF-6440-4303-A5E6-252E1A62E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1" y="14171295"/>
          <a:ext cx="800099" cy="800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548640</xdr:colOff>
      <xdr:row>1</xdr:row>
      <xdr:rowOff>175260</xdr:rowOff>
    </xdr:from>
    <xdr:to>
      <xdr:col>2</xdr:col>
      <xdr:colOff>1234439</xdr:colOff>
      <xdr:row>3</xdr:row>
      <xdr:rowOff>228601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DBF85-80B5-4D9F-BF43-70BC2703F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53" b="35294"/>
        <a:stretch/>
      </xdr:blipFill>
      <xdr:spPr>
        <a:xfrm>
          <a:off x="1158240" y="358140"/>
          <a:ext cx="1295399" cy="419101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571501</xdr:colOff>
      <xdr:row>1</xdr:row>
      <xdr:rowOff>169092</xdr:rowOff>
    </xdr:from>
    <xdr:to>
      <xdr:col>6</xdr:col>
      <xdr:colOff>472441</xdr:colOff>
      <xdr:row>4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09B5F9-0820-4E56-95A0-51BD446B21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54" t="13274" r="23893" b="15929"/>
        <a:stretch/>
      </xdr:blipFill>
      <xdr:spPr>
        <a:xfrm>
          <a:off x="5105401" y="351972"/>
          <a:ext cx="510540" cy="486228"/>
        </a:xfrm>
        <a:prstGeom prst="rect">
          <a:avLst/>
        </a:prstGeom>
      </xdr:spPr>
    </xdr:pic>
    <xdr:clientData/>
  </xdr:twoCellAnchor>
  <xdr:twoCellAnchor editAs="oneCell">
    <xdr:from>
      <xdr:col>9</xdr:col>
      <xdr:colOff>449580</xdr:colOff>
      <xdr:row>2</xdr:row>
      <xdr:rowOff>79057</xdr:rowOff>
    </xdr:from>
    <xdr:to>
      <xdr:col>10</xdr:col>
      <xdr:colOff>571500</xdr:colOff>
      <xdr:row>4</xdr:row>
      <xdr:rowOff>71438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0B9D5A-C926-45EC-8877-9B870C4B5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7780" y="444817"/>
          <a:ext cx="731520" cy="411481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579121</xdr:colOff>
      <xdr:row>12</xdr:row>
      <xdr:rowOff>165218</xdr:rowOff>
    </xdr:from>
    <xdr:to>
      <xdr:col>2</xdr:col>
      <xdr:colOff>541021</xdr:colOff>
      <xdr:row>15</xdr:row>
      <xdr:rowOff>60959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9A2A18-3C29-4992-AED3-9884D2C43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1" y="2420738"/>
          <a:ext cx="571500" cy="497721"/>
        </a:xfrm>
        <a:prstGeom prst="rect">
          <a:avLst/>
        </a:prstGeom>
      </xdr:spPr>
    </xdr:pic>
    <xdr:clientData/>
  </xdr:twoCellAnchor>
  <xdr:twoCellAnchor editAs="oneCell">
    <xdr:from>
      <xdr:col>6</xdr:col>
      <xdr:colOff>22861</xdr:colOff>
      <xdr:row>12</xdr:row>
      <xdr:rowOff>152399</xdr:rowOff>
    </xdr:from>
    <xdr:to>
      <xdr:col>6</xdr:col>
      <xdr:colOff>518160</xdr:colOff>
      <xdr:row>15</xdr:row>
      <xdr:rowOff>45718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53B3E3-BA43-47B8-BD53-551A82230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6361" y="2407919"/>
          <a:ext cx="495299" cy="4952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556260</xdr:colOff>
      <xdr:row>0</xdr:row>
      <xdr:rowOff>129540</xdr:rowOff>
    </xdr:from>
    <xdr:to>
      <xdr:col>2</xdr:col>
      <xdr:colOff>1242059</xdr:colOff>
      <xdr:row>2</xdr:row>
      <xdr:rowOff>182881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724D6-1306-4C2B-8A95-19656E996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53" b="35294"/>
        <a:stretch/>
      </xdr:blipFill>
      <xdr:spPr>
        <a:xfrm>
          <a:off x="1165860" y="129540"/>
          <a:ext cx="1295399" cy="419101"/>
        </a:xfrm>
        <a:prstGeom prst="rect">
          <a:avLst/>
        </a:prstGeom>
      </xdr:spPr>
    </xdr:pic>
    <xdr:clientData/>
  </xdr:twoCellAnchor>
  <xdr:twoCellAnchor editAs="oneCell">
    <xdr:from>
      <xdr:col>1</xdr:col>
      <xdr:colOff>480060</xdr:colOff>
      <xdr:row>26</xdr:row>
      <xdr:rowOff>167640</xdr:rowOff>
    </xdr:from>
    <xdr:to>
      <xdr:col>2</xdr:col>
      <xdr:colOff>381000</xdr:colOff>
      <xdr:row>29</xdr:row>
      <xdr:rowOff>51888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41B44EE-62B7-4584-AB95-DCF20C8A8C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54" t="13274" r="23893" b="15929"/>
        <a:stretch/>
      </xdr:blipFill>
      <xdr:spPr>
        <a:xfrm>
          <a:off x="1089660" y="4389120"/>
          <a:ext cx="510540" cy="486228"/>
        </a:xfrm>
        <a:prstGeom prst="rect">
          <a:avLst/>
        </a:prstGeom>
      </xdr:spPr>
    </xdr:pic>
    <xdr:clientData/>
  </xdr:twoCellAnchor>
  <xdr:twoCellAnchor editAs="oneCell">
    <xdr:from>
      <xdr:col>1</xdr:col>
      <xdr:colOff>350520</xdr:colOff>
      <xdr:row>53</xdr:row>
      <xdr:rowOff>60960</xdr:rowOff>
    </xdr:from>
    <xdr:to>
      <xdr:col>2</xdr:col>
      <xdr:colOff>472440</xdr:colOff>
      <xdr:row>55</xdr:row>
      <xdr:rowOff>53341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36F2616-9EEF-48E5-A91D-CCFED6574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" y="8732520"/>
          <a:ext cx="731520" cy="411481"/>
        </a:xfrm>
        <a:prstGeom prst="rect">
          <a:avLst/>
        </a:prstGeom>
      </xdr:spPr>
    </xdr:pic>
    <xdr:clientData/>
  </xdr:twoCellAnchor>
  <xdr:twoCellAnchor editAs="oneCell">
    <xdr:from>
      <xdr:col>1</xdr:col>
      <xdr:colOff>548640</xdr:colOff>
      <xdr:row>78</xdr:row>
      <xdr:rowOff>144780</xdr:rowOff>
    </xdr:from>
    <xdr:to>
      <xdr:col>2</xdr:col>
      <xdr:colOff>510540</xdr:colOff>
      <xdr:row>81</xdr:row>
      <xdr:rowOff>40521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969EEC-1A84-47A3-91DB-921EB9721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" y="12900660"/>
          <a:ext cx="571500" cy="497721"/>
        </a:xfrm>
        <a:prstGeom prst="rect">
          <a:avLst/>
        </a:prstGeom>
      </xdr:spPr>
    </xdr:pic>
    <xdr:clientData/>
  </xdr:twoCellAnchor>
  <xdr:twoCellAnchor editAs="oneCell">
    <xdr:from>
      <xdr:col>1</xdr:col>
      <xdr:colOff>541020</xdr:colOff>
      <xdr:row>104</xdr:row>
      <xdr:rowOff>152400</xdr:rowOff>
    </xdr:from>
    <xdr:to>
      <xdr:col>2</xdr:col>
      <xdr:colOff>426719</xdr:colOff>
      <xdr:row>107</xdr:row>
      <xdr:rowOff>45719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A9AD002-422F-400A-A09A-DCB4C839C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17175480"/>
          <a:ext cx="495299" cy="4952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586740</xdr:colOff>
      <xdr:row>2</xdr:row>
      <xdr:rowOff>15240</xdr:rowOff>
    </xdr:from>
    <xdr:to>
      <xdr:col>3</xdr:col>
      <xdr:colOff>7619</xdr:colOff>
      <xdr:row>4</xdr:row>
      <xdr:rowOff>15241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4ECFEA-24C6-407E-8D37-3FAFEAEE0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53" b="35294"/>
        <a:stretch/>
      </xdr:blipFill>
      <xdr:spPr>
        <a:xfrm>
          <a:off x="1196340" y="381000"/>
          <a:ext cx="1295399" cy="419101"/>
        </a:xfrm>
        <a:prstGeom prst="rect">
          <a:avLst/>
        </a:prstGeom>
      </xdr:spPr>
    </xdr:pic>
    <xdr:clientData/>
  </xdr:twoCellAnchor>
  <xdr:twoCellAnchor editAs="oneCell">
    <xdr:from>
      <xdr:col>7</xdr:col>
      <xdr:colOff>350520</xdr:colOff>
      <xdr:row>4</xdr:row>
      <xdr:rowOff>24563</xdr:rowOff>
    </xdr:from>
    <xdr:to>
      <xdr:col>8</xdr:col>
      <xdr:colOff>30480</xdr:colOff>
      <xdr:row>5</xdr:row>
      <xdr:rowOff>86241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D80362E-6075-41BE-88E4-98662DF9D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5440" y="809423"/>
          <a:ext cx="289560" cy="252178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</xdr:colOff>
      <xdr:row>4</xdr:row>
      <xdr:rowOff>7620</xdr:rowOff>
    </xdr:from>
    <xdr:to>
      <xdr:col>7</xdr:col>
      <xdr:colOff>342899</xdr:colOff>
      <xdr:row>5</xdr:row>
      <xdr:rowOff>99059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703DA52-BACD-4E6C-8919-001C36D72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5880" y="792480"/>
          <a:ext cx="281939" cy="281939"/>
        </a:xfrm>
        <a:prstGeom prst="rect">
          <a:avLst/>
        </a:prstGeom>
      </xdr:spPr>
    </xdr:pic>
    <xdr:clientData/>
  </xdr:twoCellAnchor>
  <xdr:twoCellAnchor editAs="oneCell">
    <xdr:from>
      <xdr:col>5</xdr:col>
      <xdr:colOff>175260</xdr:colOff>
      <xdr:row>4</xdr:row>
      <xdr:rowOff>16669</xdr:rowOff>
    </xdr:from>
    <xdr:to>
      <xdr:col>5</xdr:col>
      <xdr:colOff>579120</xdr:colOff>
      <xdr:row>5</xdr:row>
      <xdr:rowOff>53341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72B7E30-247C-4435-AC82-D77C9274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4780" y="801529"/>
          <a:ext cx="403860" cy="227172"/>
        </a:xfrm>
        <a:prstGeom prst="rect">
          <a:avLst/>
        </a:prstGeom>
      </xdr:spPr>
    </xdr:pic>
    <xdr:clientData/>
  </xdr:twoCellAnchor>
  <xdr:twoCellAnchor editAs="oneCell">
    <xdr:from>
      <xdr:col>4</xdr:col>
      <xdr:colOff>548640</xdr:colOff>
      <xdr:row>3</xdr:row>
      <xdr:rowOff>217350</xdr:rowOff>
    </xdr:from>
    <xdr:to>
      <xdr:col>5</xdr:col>
      <xdr:colOff>213360</xdr:colOff>
      <xdr:row>5</xdr:row>
      <xdr:rowOff>51887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8A4366-5B28-4FD0-ACC2-209B8D7183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54" t="13274" r="23893" b="15929"/>
        <a:stretch/>
      </xdr:blipFill>
      <xdr:spPr>
        <a:xfrm>
          <a:off x="3718560" y="765990"/>
          <a:ext cx="274320" cy="261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204.q4cdn.com/332108499/files/doc_financials/2026/ar/2026_annual_report.pdf" TargetMode="External"/><Relationship Id="rId13" Type="http://schemas.openxmlformats.org/officeDocument/2006/relationships/hyperlink" Target="https://www.businesswire.com/news/home/20260731119013/en/Colgate-Announces-2nd-Quarter-2026-Results" TargetMode="External"/><Relationship Id="rId18" Type="http://schemas.openxmlformats.org/officeDocument/2006/relationships/hyperlink" Target="https://companiesmarketcap.com/quarterly-reports/265.qr.en.2026-q2.pdf" TargetMode="External"/><Relationship Id="rId26" Type="http://schemas.openxmlformats.org/officeDocument/2006/relationships/hyperlink" Target="https://companiesmarketcap.com/church-and-dwight/shares-outstanding/" TargetMode="External"/><Relationship Id="rId3" Type="http://schemas.openxmlformats.org/officeDocument/2006/relationships/hyperlink" Target="https://companiesmarketcap.com/clorox/shares-outstanding/" TargetMode="External"/><Relationship Id="rId21" Type="http://schemas.openxmlformats.org/officeDocument/2006/relationships/hyperlink" Target="https://finance.yahoo.com/quote/KMB/key-statistics/" TargetMode="External"/><Relationship Id="rId7" Type="http://schemas.openxmlformats.org/officeDocument/2006/relationships/hyperlink" Target="https://www.cpsc.gov/Newsroom/News-Releases/2026/Clorox-Agrees-to-Pay-14-15-Million-Civil-Penalty-for-Failure-to-Immediately-Report-Bacterial-Hazard-with-Pine-Sol-Scented-Multi-Surface-Cleaning-Products" TargetMode="External"/><Relationship Id="rId12" Type="http://schemas.openxmlformats.org/officeDocument/2006/relationships/hyperlink" Target="https://investor.colgatepalmolive.com/static-files/4298e292-4aaf-4b10-8953-aad27c1065d7" TargetMode="External"/><Relationship Id="rId17" Type="http://schemas.openxmlformats.org/officeDocument/2006/relationships/hyperlink" Target="https://www.kimberly-clark.com/-/media/feature/kcc/corporate/pdf/annual-report/0001628280-26-007567.pdf?rev=-1&amp;hash=DC966D32B7DD0448D94871869442B002" TargetMode="External"/><Relationship Id="rId25" Type="http://schemas.openxmlformats.org/officeDocument/2006/relationships/hyperlink" Target="https://www.sec.gov/Archives/edgar/data/313927/000095017024015810/chd-20231231.htm" TargetMode="External"/><Relationship Id="rId2" Type="http://schemas.openxmlformats.org/officeDocument/2006/relationships/hyperlink" Target="https://s204.q4cdn.com/178752512/files/doc_financials/2023/ar/CLX-FY23-Annual-Report_full-report.pdf" TargetMode="External"/><Relationship Id="rId16" Type="http://schemas.openxmlformats.org/officeDocument/2006/relationships/hyperlink" Target="https://finance.yahoo.com/quote/CL/key-statistics/" TargetMode="External"/><Relationship Id="rId20" Type="http://schemas.openxmlformats.org/officeDocument/2006/relationships/hyperlink" Target="https://companiesmarketcap.com/kimberly-clark/shares-outstanding/" TargetMode="External"/><Relationship Id="rId1" Type="http://schemas.openxmlformats.org/officeDocument/2006/relationships/hyperlink" Target="https://s204.q4cdn.com/178752512/files/doc_financials/2026/ar/The-Clorox-Company-FY26-Integrated-Annual-Report.pdf" TargetMode="External"/><Relationship Id="rId6" Type="http://schemas.openxmlformats.org/officeDocument/2006/relationships/hyperlink" Target="https://www.courthousenews.com/clorox-customer-brings-class-action-over-contaminated-household-cleaners/" TargetMode="External"/><Relationship Id="rId11" Type="http://schemas.openxmlformats.org/officeDocument/2006/relationships/hyperlink" Target="https://finance.yahoo.com/quote/PG/key-statistics/" TargetMode="External"/><Relationship Id="rId24" Type="http://schemas.openxmlformats.org/officeDocument/2006/relationships/hyperlink" Target="https://s203.q4cdn.com/233583214/files/doc_earnings/2026/q2/earnings-result/Press-Release-Q2-2026.pdf" TargetMode="External"/><Relationship Id="rId5" Type="http://schemas.openxmlformats.org/officeDocument/2006/relationships/hyperlink" Target="https://www.reuters.com/business/retail-consumer/clorox-expects-quarterly-loss-hit-cyberattack-2023-10-04/" TargetMode="External"/><Relationship Id="rId15" Type="http://schemas.openxmlformats.org/officeDocument/2006/relationships/hyperlink" Target="https://companiesmarketcap.com/colgate-palmolive/shares-outstanding/" TargetMode="External"/><Relationship Id="rId23" Type="http://schemas.openxmlformats.org/officeDocument/2006/relationships/hyperlink" Target="https://s203.q4cdn.com/233583214/files/doc_financials/2025/ar/Final-Annual-Report-740f0f.pdf" TargetMode="External"/><Relationship Id="rId10" Type="http://schemas.openxmlformats.org/officeDocument/2006/relationships/hyperlink" Target="https://companiesmarketcap.com/procter-and-gamble/shares-outstanding/" TargetMode="External"/><Relationship Id="rId19" Type="http://schemas.openxmlformats.org/officeDocument/2006/relationships/hyperlink" Target="https://companiesmarketcap.com/annual-reports/265.ar.en.2023.pdf" TargetMode="External"/><Relationship Id="rId4" Type="http://schemas.openxmlformats.org/officeDocument/2006/relationships/hyperlink" Target="https://finance.yahoo.com/quote/CLX/key-statistics/" TargetMode="External"/><Relationship Id="rId9" Type="http://schemas.openxmlformats.org/officeDocument/2006/relationships/hyperlink" Target="https://s204.q4cdn.com/332108499/files/doc_financials/2023/ar/2023_annual_report.pdf" TargetMode="External"/><Relationship Id="rId14" Type="http://schemas.openxmlformats.org/officeDocument/2006/relationships/hyperlink" Target="https://investor.colgatepalmolive.com/static-files/66a06161-3df3-46eb-a860-831e49b961b4" TargetMode="External"/><Relationship Id="rId22" Type="http://schemas.openxmlformats.org/officeDocument/2006/relationships/hyperlink" Target="https://www.youtube.com/watch?v=-itGnOjElRM" TargetMode="External"/><Relationship Id="rId27" Type="http://schemas.openxmlformats.org/officeDocument/2006/relationships/hyperlink" Target="https://finance.yahoo.com/quote/CHD/key-stat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669F-C2EA-4602-98F0-4CD769F39375}">
  <dimension ref="C4:I95"/>
  <sheetViews>
    <sheetView showGridLines="0" zoomScaleNormal="100" workbookViewId="0">
      <selection activeCell="I14" sqref="I14"/>
    </sheetView>
  </sheetViews>
  <sheetFormatPr defaultRowHeight="14.4" x14ac:dyDescent="0.3"/>
  <cols>
    <col min="3" max="3" width="36.44140625" bestFit="1" customWidth="1"/>
    <col min="4" max="5" width="10.109375" bestFit="1" customWidth="1"/>
    <col min="6" max="6" width="10.88671875" bestFit="1" customWidth="1"/>
    <col min="7" max="8" width="9.6640625" bestFit="1" customWidth="1"/>
    <col min="9" max="9" width="9.109375" bestFit="1" customWidth="1"/>
  </cols>
  <sheetData>
    <row r="4" spans="3:8" ht="16.2" thickBot="1" x14ac:dyDescent="0.35">
      <c r="C4" s="12"/>
      <c r="D4" s="13"/>
      <c r="E4" s="13"/>
      <c r="F4" s="13"/>
      <c r="G4" s="13"/>
      <c r="H4" s="13"/>
    </row>
    <row r="5" spans="3:8" ht="15" thickTop="1" x14ac:dyDescent="0.3">
      <c r="C5" s="14" t="s">
        <v>11</v>
      </c>
      <c r="D5" s="39" t="s">
        <v>12</v>
      </c>
      <c r="E5" s="39"/>
      <c r="F5" s="39"/>
      <c r="G5" s="39"/>
      <c r="H5" s="39"/>
    </row>
    <row r="6" spans="3:8" x14ac:dyDescent="0.3">
      <c r="C6" s="4"/>
    </row>
    <row r="7" spans="3:8" x14ac:dyDescent="0.3">
      <c r="D7" s="15">
        <v>2026</v>
      </c>
      <c r="E7" s="15">
        <v>2025</v>
      </c>
      <c r="F7" s="15">
        <v>2024</v>
      </c>
      <c r="G7" s="15">
        <v>2023</v>
      </c>
      <c r="H7" s="15">
        <v>2022</v>
      </c>
    </row>
    <row r="8" spans="3:8" x14ac:dyDescent="0.3">
      <c r="C8" s="14" t="s">
        <v>13</v>
      </c>
      <c r="D8" s="16">
        <v>6720</v>
      </c>
      <c r="E8" s="16">
        <v>7104</v>
      </c>
      <c r="F8" s="16">
        <v>7093</v>
      </c>
      <c r="G8" s="16">
        <v>7389</v>
      </c>
      <c r="H8" s="16">
        <v>7107</v>
      </c>
    </row>
    <row r="9" spans="3:8" x14ac:dyDescent="0.3">
      <c r="C9" s="14" t="s">
        <v>43</v>
      </c>
      <c r="D9" s="16">
        <v>2844</v>
      </c>
      <c r="E9" s="16">
        <v>3213</v>
      </c>
      <c r="F9" s="16">
        <v>3048</v>
      </c>
      <c r="G9" s="16">
        <v>2908</v>
      </c>
      <c r="H9" s="16">
        <v>2908</v>
      </c>
    </row>
    <row r="10" spans="3:8" x14ac:dyDescent="0.3">
      <c r="C10" s="14" t="s">
        <v>14</v>
      </c>
      <c r="D10" s="16">
        <v>913</v>
      </c>
      <c r="E10" s="16">
        <v>1080</v>
      </c>
      <c r="F10" s="16">
        <v>512</v>
      </c>
      <c r="G10" s="16">
        <v>408</v>
      </c>
      <c r="H10" s="16">
        <v>750</v>
      </c>
    </row>
    <row r="11" spans="3:8" x14ac:dyDescent="0.3">
      <c r="C11" s="14" t="s">
        <v>15</v>
      </c>
      <c r="D11" s="16">
        <v>587</v>
      </c>
      <c r="E11" s="16">
        <v>810</v>
      </c>
      <c r="F11" s="16">
        <v>280</v>
      </c>
      <c r="G11" s="16">
        <v>149</v>
      </c>
      <c r="H11" s="16">
        <v>462</v>
      </c>
    </row>
    <row r="13" spans="3:8" x14ac:dyDescent="0.3">
      <c r="C13" s="14" t="s">
        <v>16</v>
      </c>
      <c r="D13" s="17">
        <v>4.82</v>
      </c>
      <c r="E13" s="17">
        <v>6.56</v>
      </c>
      <c r="F13" s="17">
        <v>2.2599999999999998</v>
      </c>
      <c r="G13" s="17">
        <v>1.21</v>
      </c>
    </row>
    <row r="14" spans="3:8" x14ac:dyDescent="0.3">
      <c r="C14" s="14" t="s">
        <v>17</v>
      </c>
      <c r="D14" s="17">
        <v>4.8099999999999996</v>
      </c>
      <c r="E14" s="17">
        <v>6.52</v>
      </c>
      <c r="F14" s="17">
        <v>2.25</v>
      </c>
      <c r="G14" s="17">
        <v>1.2</v>
      </c>
    </row>
    <row r="15" spans="3:8" x14ac:dyDescent="0.3">
      <c r="C15" s="14" t="s">
        <v>18</v>
      </c>
      <c r="D15" s="16">
        <v>7794</v>
      </c>
      <c r="E15" s="16">
        <v>5561</v>
      </c>
      <c r="F15" s="16">
        <v>1622</v>
      </c>
    </row>
    <row r="16" spans="3:8" x14ac:dyDescent="0.3">
      <c r="C16" s="14" t="s">
        <v>19</v>
      </c>
      <c r="D16" s="16">
        <v>252</v>
      </c>
      <c r="E16" s="16">
        <v>482</v>
      </c>
      <c r="F16" s="16">
        <v>492</v>
      </c>
    </row>
    <row r="18" spans="3:9" x14ac:dyDescent="0.3">
      <c r="C18" s="14" t="s">
        <v>20</v>
      </c>
      <c r="D18" s="16">
        <v>612</v>
      </c>
      <c r="E18" s="16">
        <v>981</v>
      </c>
      <c r="F18" s="16">
        <v>695</v>
      </c>
    </row>
    <row r="19" spans="3:9" x14ac:dyDescent="0.3">
      <c r="C19" s="14" t="s">
        <v>21</v>
      </c>
      <c r="D19" s="16">
        <v>-207</v>
      </c>
      <c r="E19" s="16">
        <v>-220</v>
      </c>
      <c r="F19" s="16">
        <v>-212</v>
      </c>
    </row>
    <row r="21" spans="3:9" x14ac:dyDescent="0.3">
      <c r="C21" s="14"/>
      <c r="D21" s="10"/>
      <c r="E21" s="10"/>
      <c r="F21" s="10"/>
    </row>
    <row r="22" spans="3:9" x14ac:dyDescent="0.3">
      <c r="C22" s="14"/>
      <c r="D22" s="10"/>
      <c r="E22" s="10"/>
      <c r="F22" s="10"/>
    </row>
    <row r="23" spans="3:9" x14ac:dyDescent="0.3">
      <c r="D23" s="10"/>
      <c r="E23" s="10"/>
      <c r="F23" s="10"/>
    </row>
    <row r="24" spans="3:9" ht="18.600000000000001" thickBot="1" x14ac:dyDescent="0.4">
      <c r="C24" s="18" t="s">
        <v>22</v>
      </c>
      <c r="D24" s="13"/>
      <c r="E24" s="13"/>
      <c r="F24" s="13"/>
      <c r="G24" s="13"/>
      <c r="H24" s="13"/>
    </row>
    <row r="25" spans="3:9" ht="15" thickTop="1" x14ac:dyDescent="0.3">
      <c r="C25" s="14" t="s">
        <v>11</v>
      </c>
      <c r="D25" s="39" t="s">
        <v>23</v>
      </c>
      <c r="E25" s="39"/>
      <c r="F25" s="39"/>
      <c r="G25" s="39"/>
      <c r="H25" s="39"/>
    </row>
    <row r="26" spans="3:9" x14ac:dyDescent="0.3">
      <c r="C26" s="4"/>
    </row>
    <row r="27" spans="3:9" x14ac:dyDescent="0.3">
      <c r="D27" s="19">
        <v>2026</v>
      </c>
      <c r="E27" s="19">
        <v>2025</v>
      </c>
      <c r="F27" s="19">
        <v>2024</v>
      </c>
      <c r="G27" s="19">
        <v>2023</v>
      </c>
      <c r="H27" s="19">
        <v>2022</v>
      </c>
      <c r="I27" s="10"/>
    </row>
    <row r="28" spans="3:9" x14ac:dyDescent="0.3">
      <c r="C28" s="14" t="s">
        <v>13</v>
      </c>
      <c r="D28" s="16">
        <v>87032</v>
      </c>
      <c r="E28" s="16">
        <v>84284</v>
      </c>
      <c r="F28" s="16">
        <v>84039</v>
      </c>
      <c r="G28" s="16">
        <v>82006</v>
      </c>
      <c r="H28" s="16">
        <v>80187</v>
      </c>
    </row>
    <row r="29" spans="3:9" x14ac:dyDescent="0.3">
      <c r="C29" s="14" t="s">
        <v>43</v>
      </c>
      <c r="D29" s="16">
        <v>43670</v>
      </c>
      <c r="E29" s="16">
        <v>43120</v>
      </c>
      <c r="F29" s="16">
        <v>43191</v>
      </c>
      <c r="G29" s="16">
        <v>39246</v>
      </c>
      <c r="H29" s="16">
        <v>38030</v>
      </c>
    </row>
    <row r="30" spans="3:9" x14ac:dyDescent="0.3">
      <c r="C30" s="14" t="s">
        <v>14</v>
      </c>
      <c r="D30" s="16">
        <v>19748</v>
      </c>
      <c r="E30" s="16">
        <v>20451</v>
      </c>
      <c r="F30" s="16">
        <v>18545</v>
      </c>
      <c r="G30" s="16">
        <v>18134</v>
      </c>
      <c r="H30" s="16">
        <v>17813</v>
      </c>
    </row>
    <row r="31" spans="3:9" x14ac:dyDescent="0.3">
      <c r="C31" s="14" t="s">
        <v>15</v>
      </c>
      <c r="D31" s="16">
        <v>16046</v>
      </c>
      <c r="E31" s="16">
        <v>15974</v>
      </c>
      <c r="F31" s="16">
        <v>14879</v>
      </c>
      <c r="G31" s="16">
        <v>14653</v>
      </c>
      <c r="H31" s="16">
        <v>14742</v>
      </c>
    </row>
    <row r="33" spans="3:8" x14ac:dyDescent="0.3">
      <c r="C33" s="14" t="s">
        <v>18</v>
      </c>
      <c r="D33" s="16">
        <v>126521</v>
      </c>
      <c r="E33" s="16">
        <v>125231</v>
      </c>
      <c r="F33" s="16"/>
      <c r="H33" s="10"/>
    </row>
    <row r="34" spans="3:8" x14ac:dyDescent="0.3">
      <c r="C34" s="14" t="s">
        <v>24</v>
      </c>
      <c r="D34" s="16">
        <v>54311</v>
      </c>
      <c r="E34" s="16">
        <v>52284</v>
      </c>
      <c r="F34" s="16"/>
      <c r="H34" s="10"/>
    </row>
    <row r="35" spans="3:8" x14ac:dyDescent="0.3">
      <c r="C35" s="14" t="s">
        <v>16</v>
      </c>
      <c r="D35" s="17">
        <v>6.75</v>
      </c>
      <c r="E35" s="17">
        <v>6.67</v>
      </c>
      <c r="F35" s="17">
        <v>6.18</v>
      </c>
      <c r="G35" s="17">
        <v>6.07</v>
      </c>
    </row>
    <row r="36" spans="3:8" x14ac:dyDescent="0.3">
      <c r="C36" s="14" t="s">
        <v>17</v>
      </c>
      <c r="D36" s="17">
        <v>6.62</v>
      </c>
      <c r="E36" s="17">
        <v>6.51</v>
      </c>
      <c r="F36" s="17">
        <v>6.02</v>
      </c>
      <c r="G36" s="17">
        <v>5.9</v>
      </c>
    </row>
    <row r="38" spans="3:8" x14ac:dyDescent="0.3">
      <c r="C38" s="14" t="s">
        <v>20</v>
      </c>
      <c r="D38" s="16">
        <v>19556</v>
      </c>
      <c r="E38" s="16">
        <v>17817</v>
      </c>
      <c r="F38" s="16">
        <v>19846</v>
      </c>
    </row>
    <row r="39" spans="3:8" x14ac:dyDescent="0.3">
      <c r="C39" s="14" t="s">
        <v>21</v>
      </c>
      <c r="D39" s="16">
        <v>-4409</v>
      </c>
      <c r="E39" s="16">
        <v>-3773</v>
      </c>
      <c r="F39" s="16">
        <v>-3322</v>
      </c>
    </row>
    <row r="43" spans="3:8" ht="18.600000000000001" thickBot="1" x14ac:dyDescent="0.4">
      <c r="C43" s="18" t="s">
        <v>5</v>
      </c>
      <c r="D43" s="13"/>
      <c r="E43" s="13"/>
      <c r="F43" s="13"/>
      <c r="G43" s="13"/>
      <c r="H43" s="13"/>
    </row>
    <row r="44" spans="3:8" ht="15" thickTop="1" x14ac:dyDescent="0.3">
      <c r="C44" s="14" t="s">
        <v>11</v>
      </c>
      <c r="D44" s="39" t="s">
        <v>25</v>
      </c>
      <c r="E44" s="39"/>
      <c r="F44" s="39"/>
      <c r="G44" s="39"/>
      <c r="H44" s="39"/>
    </row>
    <row r="46" spans="3:8" x14ac:dyDescent="0.3">
      <c r="D46" s="19" t="s">
        <v>26</v>
      </c>
      <c r="E46" s="19">
        <v>2025</v>
      </c>
      <c r="F46" s="19">
        <v>2024</v>
      </c>
      <c r="G46" s="19">
        <v>2023</v>
      </c>
      <c r="H46" s="19">
        <v>2022</v>
      </c>
    </row>
    <row r="47" spans="3:8" x14ac:dyDescent="0.3">
      <c r="C47" s="14" t="s">
        <v>13</v>
      </c>
      <c r="D47" s="16">
        <v>21047</v>
      </c>
      <c r="E47" s="16">
        <v>20382</v>
      </c>
      <c r="F47" s="16">
        <v>20101</v>
      </c>
      <c r="G47" s="16">
        <v>19457</v>
      </c>
      <c r="H47" s="16">
        <v>17967</v>
      </c>
    </row>
    <row r="48" spans="3:8" x14ac:dyDescent="0.3">
      <c r="C48" s="14" t="s">
        <v>43</v>
      </c>
      <c r="D48" s="16">
        <v>12450</v>
      </c>
      <c r="E48" s="16">
        <v>12251</v>
      </c>
      <c r="F48" s="16">
        <v>12161</v>
      </c>
      <c r="G48" s="16">
        <v>11326</v>
      </c>
      <c r="H48" s="16">
        <v>10248</v>
      </c>
    </row>
    <row r="49" spans="3:8" x14ac:dyDescent="0.3">
      <c r="C49" s="14" t="s">
        <v>14</v>
      </c>
      <c r="D49" s="16">
        <v>3130</v>
      </c>
      <c r="E49" s="16">
        <v>3306</v>
      </c>
      <c r="F49" s="16">
        <v>4268</v>
      </c>
      <c r="G49" s="16">
        <v>3984</v>
      </c>
      <c r="H49" s="16">
        <v>2893</v>
      </c>
    </row>
    <row r="50" spans="3:8" x14ac:dyDescent="0.3">
      <c r="C50" s="14" t="s">
        <v>15</v>
      </c>
      <c r="D50" s="16">
        <v>2038</v>
      </c>
      <c r="E50" s="16">
        <v>2132</v>
      </c>
      <c r="F50" s="16">
        <v>2889</v>
      </c>
      <c r="G50" s="16">
        <v>2300</v>
      </c>
      <c r="H50" s="16">
        <v>1785</v>
      </c>
    </row>
    <row r="52" spans="3:8" x14ac:dyDescent="0.3">
      <c r="C52" s="14" t="s">
        <v>16</v>
      </c>
      <c r="D52" s="17">
        <v>2.54</v>
      </c>
      <c r="E52" s="17">
        <v>2.64</v>
      </c>
      <c r="F52" s="17">
        <v>3.53</v>
      </c>
      <c r="G52" s="17">
        <v>2.78</v>
      </c>
    </row>
    <row r="53" spans="3:8" x14ac:dyDescent="0.3">
      <c r="C53" s="14" t="s">
        <v>17</v>
      </c>
      <c r="D53" s="17">
        <v>2.54</v>
      </c>
      <c r="E53" s="17">
        <v>2.63</v>
      </c>
      <c r="F53" s="17">
        <v>3.51</v>
      </c>
      <c r="G53" s="17">
        <v>2.77</v>
      </c>
    </row>
    <row r="54" spans="3:8" x14ac:dyDescent="0.3">
      <c r="C54" s="14" t="s">
        <v>18</v>
      </c>
      <c r="D54" s="16">
        <v>16790</v>
      </c>
      <c r="E54" s="16">
        <v>16330</v>
      </c>
      <c r="F54" s="16">
        <v>16046</v>
      </c>
      <c r="G54" s="16"/>
    </row>
    <row r="55" spans="3:8" x14ac:dyDescent="0.3">
      <c r="C55" s="14" t="s">
        <v>19</v>
      </c>
      <c r="D55" s="16">
        <v>566</v>
      </c>
      <c r="E55" s="16">
        <v>365</v>
      </c>
      <c r="F55" s="16">
        <v>544</v>
      </c>
      <c r="G55" s="16"/>
    </row>
    <row r="57" spans="3:8" x14ac:dyDescent="0.3">
      <c r="C57" s="14" t="s">
        <v>20</v>
      </c>
      <c r="D57" s="16">
        <v>4456</v>
      </c>
      <c r="E57" s="16">
        <v>4198</v>
      </c>
      <c r="F57" s="16">
        <v>4107</v>
      </c>
      <c r="G57" s="16">
        <v>3745</v>
      </c>
    </row>
    <row r="58" spans="3:8" x14ac:dyDescent="0.3">
      <c r="C58" s="14" t="s">
        <v>21</v>
      </c>
      <c r="D58" s="16">
        <v>598</v>
      </c>
      <c r="E58" s="16">
        <v>-564</v>
      </c>
      <c r="F58" s="16">
        <v>-561</v>
      </c>
      <c r="G58" s="16">
        <v>-705</v>
      </c>
    </row>
    <row r="61" spans="3:8" ht="18.600000000000001" thickBot="1" x14ac:dyDescent="0.35">
      <c r="C61" s="2" t="s">
        <v>6</v>
      </c>
      <c r="D61" s="13"/>
      <c r="E61" s="13"/>
      <c r="F61" s="13"/>
      <c r="G61" s="13"/>
      <c r="H61" s="13"/>
    </row>
    <row r="62" spans="3:8" ht="15" thickTop="1" x14ac:dyDescent="0.3">
      <c r="C62" s="14" t="s">
        <v>11</v>
      </c>
      <c r="D62" s="39" t="s">
        <v>27</v>
      </c>
      <c r="E62" s="39"/>
      <c r="F62" s="39"/>
      <c r="G62" s="39"/>
      <c r="H62" s="39"/>
    </row>
    <row r="64" spans="3:8" x14ac:dyDescent="0.3">
      <c r="D64" s="20" t="s">
        <v>26</v>
      </c>
      <c r="E64" s="20">
        <v>2025</v>
      </c>
      <c r="F64" s="20">
        <v>2024</v>
      </c>
      <c r="G64" s="20">
        <v>2023</v>
      </c>
      <c r="H64" s="20">
        <v>2022</v>
      </c>
    </row>
    <row r="65" spans="3:9" x14ac:dyDescent="0.3">
      <c r="C65" s="14" t="s">
        <v>13</v>
      </c>
      <c r="D65" s="16">
        <v>16580</v>
      </c>
      <c r="E65" s="16">
        <v>16447</v>
      </c>
      <c r="F65" s="16">
        <v>16805</v>
      </c>
      <c r="G65" s="16">
        <v>17146</v>
      </c>
      <c r="H65" s="16">
        <v>16400</v>
      </c>
    </row>
    <row r="66" spans="3:9" x14ac:dyDescent="0.3">
      <c r="C66" s="14" t="s">
        <v>43</v>
      </c>
      <c r="D66" s="16">
        <v>6095</v>
      </c>
      <c r="E66" s="16">
        <v>5923</v>
      </c>
      <c r="F66" s="16">
        <v>6289</v>
      </c>
      <c r="G66" s="16">
        <v>6269</v>
      </c>
      <c r="H66" s="16">
        <v>6219</v>
      </c>
    </row>
    <row r="67" spans="3:9" x14ac:dyDescent="0.3">
      <c r="C67" s="14" t="s">
        <v>14</v>
      </c>
      <c r="D67" s="16">
        <v>2514</v>
      </c>
      <c r="E67" s="16">
        <v>2351</v>
      </c>
      <c r="F67" s="16">
        <v>2700</v>
      </c>
      <c r="G67" s="16">
        <v>1928</v>
      </c>
      <c r="H67" s="16">
        <v>2200</v>
      </c>
    </row>
    <row r="68" spans="3:9" x14ac:dyDescent="0.3">
      <c r="C68" s="14" t="s">
        <v>15</v>
      </c>
      <c r="D68" s="16">
        <v>1955</v>
      </c>
      <c r="E68" s="16">
        <v>2021</v>
      </c>
      <c r="F68" s="16">
        <v>2545</v>
      </c>
      <c r="G68" s="16">
        <v>1764</v>
      </c>
      <c r="H68" s="16">
        <v>1934</v>
      </c>
    </row>
    <row r="70" spans="3:9" x14ac:dyDescent="0.3">
      <c r="C70" s="14" t="s">
        <v>16</v>
      </c>
      <c r="D70" s="17">
        <v>5.89</v>
      </c>
      <c r="E70" s="17">
        <v>6.09</v>
      </c>
      <c r="F70" s="17">
        <v>7.58</v>
      </c>
      <c r="G70" s="17">
        <v>5.22</v>
      </c>
    </row>
    <row r="71" spans="3:9" x14ac:dyDescent="0.3">
      <c r="C71" s="14" t="s">
        <v>17</v>
      </c>
      <c r="D71" s="17">
        <v>5.87</v>
      </c>
      <c r="E71" s="17">
        <v>6.07</v>
      </c>
      <c r="F71" s="17">
        <v>7.55</v>
      </c>
      <c r="G71" s="17">
        <v>5.21</v>
      </c>
      <c r="I71" s="10"/>
    </row>
    <row r="72" spans="3:9" x14ac:dyDescent="0.3">
      <c r="C72" s="14" t="s">
        <v>18</v>
      </c>
      <c r="D72" s="16">
        <v>18554</v>
      </c>
      <c r="E72" s="16">
        <v>17098</v>
      </c>
      <c r="F72" s="16">
        <v>16546</v>
      </c>
      <c r="G72" s="16"/>
    </row>
    <row r="73" spans="3:9" x14ac:dyDescent="0.3">
      <c r="C73" s="14" t="s">
        <v>19</v>
      </c>
      <c r="D73" s="16">
        <v>1874</v>
      </c>
      <c r="E73" s="16">
        <v>1630</v>
      </c>
      <c r="F73" s="16">
        <v>975</v>
      </c>
      <c r="G73" s="16"/>
    </row>
    <row r="75" spans="3:9" x14ac:dyDescent="0.3">
      <c r="C75" s="14" t="s">
        <v>20</v>
      </c>
      <c r="D75" s="16">
        <v>3333</v>
      </c>
      <c r="E75" s="16">
        <v>2777</v>
      </c>
      <c r="F75" s="16">
        <v>3234</v>
      </c>
      <c r="G75" s="16">
        <v>3542</v>
      </c>
    </row>
    <row r="76" spans="3:9" x14ac:dyDescent="0.3">
      <c r="C76" s="14" t="s">
        <v>21</v>
      </c>
      <c r="D76" s="16">
        <v>-1591</v>
      </c>
      <c r="E76" s="16">
        <v>-1138</v>
      </c>
      <c r="F76" s="16">
        <v>-721</v>
      </c>
      <c r="G76" s="16">
        <v>-766</v>
      </c>
    </row>
    <row r="80" spans="3:9" ht="18.600000000000001" thickBot="1" x14ac:dyDescent="0.4">
      <c r="C80" s="18" t="s">
        <v>7</v>
      </c>
      <c r="D80" s="13"/>
      <c r="E80" s="13"/>
      <c r="F80" s="13"/>
      <c r="G80" s="13"/>
      <c r="H80" s="13"/>
    </row>
    <row r="81" spans="3:9" ht="15" thickTop="1" x14ac:dyDescent="0.3">
      <c r="C81" s="14" t="s">
        <v>11</v>
      </c>
      <c r="D81" s="39" t="s">
        <v>28</v>
      </c>
      <c r="E81" s="39"/>
      <c r="F81" s="39"/>
      <c r="G81" s="39"/>
      <c r="H81" s="39"/>
    </row>
    <row r="83" spans="3:9" x14ac:dyDescent="0.3">
      <c r="D83" s="21" t="s">
        <v>26</v>
      </c>
      <c r="E83" s="21">
        <v>2025</v>
      </c>
      <c r="F83" s="21">
        <v>2024</v>
      </c>
      <c r="G83" s="21">
        <v>2023</v>
      </c>
      <c r="H83" s="21">
        <v>2022</v>
      </c>
    </row>
    <row r="84" spans="3:9" x14ac:dyDescent="0.3">
      <c r="C84" s="14" t="s">
        <v>13</v>
      </c>
      <c r="D84" s="22">
        <v>6229.1</v>
      </c>
      <c r="E84" s="22">
        <v>6203.2</v>
      </c>
      <c r="F84" s="22">
        <v>6107.1</v>
      </c>
      <c r="G84" s="22">
        <v>5867.9</v>
      </c>
      <c r="H84" s="22">
        <v>5375.6</v>
      </c>
    </row>
    <row r="85" spans="3:9" x14ac:dyDescent="0.3">
      <c r="C85" s="14" t="s">
        <v>43</v>
      </c>
      <c r="D85" s="22">
        <v>2843.5</v>
      </c>
      <c r="E85" s="22">
        <v>2774.8</v>
      </c>
      <c r="F85" s="22">
        <v>2790.1</v>
      </c>
      <c r="G85" s="22">
        <v>2588.5</v>
      </c>
      <c r="H85" s="22">
        <v>2250</v>
      </c>
    </row>
    <row r="86" spans="3:9" x14ac:dyDescent="0.3">
      <c r="C86" s="14" t="s">
        <v>14</v>
      </c>
      <c r="D86" s="22">
        <v>1088</v>
      </c>
      <c r="E86" s="22">
        <v>1077.5999999999999</v>
      </c>
      <c r="F86" s="22">
        <v>807.1</v>
      </c>
      <c r="G86" s="22">
        <v>1057.4000000000001</v>
      </c>
      <c r="H86" s="22">
        <v>597.79999999999995</v>
      </c>
      <c r="I86" s="8"/>
    </row>
    <row r="87" spans="3:9" x14ac:dyDescent="0.3">
      <c r="C87" s="14" t="s">
        <v>15</v>
      </c>
      <c r="D87" s="22">
        <v>744.8</v>
      </c>
      <c r="E87" s="22">
        <v>736.8</v>
      </c>
      <c r="F87" s="22">
        <v>585.29999999999995</v>
      </c>
      <c r="G87" s="22">
        <v>755.6</v>
      </c>
      <c r="H87" s="22">
        <v>413.9</v>
      </c>
    </row>
    <row r="89" spans="3:9" x14ac:dyDescent="0.3">
      <c r="C89" s="14" t="s">
        <v>16</v>
      </c>
      <c r="D89" s="23">
        <v>3.13</v>
      </c>
      <c r="E89" s="23">
        <v>3.04</v>
      </c>
      <c r="F89" s="23">
        <v>2.39</v>
      </c>
      <c r="G89" s="23">
        <v>3.09</v>
      </c>
    </row>
    <row r="90" spans="3:9" x14ac:dyDescent="0.3">
      <c r="C90" s="14" t="s">
        <v>17</v>
      </c>
      <c r="D90" s="23">
        <v>3.12</v>
      </c>
      <c r="E90" s="23">
        <v>3.02</v>
      </c>
      <c r="F90" s="23">
        <v>2.37</v>
      </c>
      <c r="G90" s="23">
        <v>3.05</v>
      </c>
    </row>
    <row r="91" spans="3:9" x14ac:dyDescent="0.3">
      <c r="C91" s="14" t="s">
        <v>18</v>
      </c>
      <c r="D91" s="22">
        <v>9105.7000000000007</v>
      </c>
      <c r="E91" s="22">
        <v>8912.4</v>
      </c>
      <c r="F91" s="22">
        <v>8883.1</v>
      </c>
      <c r="G91" s="22"/>
    </row>
    <row r="92" spans="3:9" x14ac:dyDescent="0.3">
      <c r="C92" s="14" t="s">
        <v>19</v>
      </c>
      <c r="D92" s="22">
        <v>4347.8</v>
      </c>
      <c r="E92" s="22">
        <v>4002.2</v>
      </c>
      <c r="F92" s="22">
        <v>4360.8</v>
      </c>
      <c r="G92" s="22"/>
    </row>
    <row r="94" spans="3:9" x14ac:dyDescent="0.3">
      <c r="C94" s="14" t="s">
        <v>20</v>
      </c>
      <c r="D94" s="22">
        <v>1260.5</v>
      </c>
      <c r="E94" s="22">
        <v>1215.4000000000001</v>
      </c>
      <c r="F94" s="22">
        <v>1156.2</v>
      </c>
      <c r="G94" s="22">
        <v>1030.5999999999999</v>
      </c>
    </row>
    <row r="95" spans="3:9" x14ac:dyDescent="0.3">
      <c r="C95" s="14" t="s">
        <v>21</v>
      </c>
      <c r="D95" s="22">
        <v>-145.19999999999999</v>
      </c>
      <c r="E95" s="22">
        <v>-122.4</v>
      </c>
      <c r="F95" s="22">
        <v>-179.8</v>
      </c>
      <c r="G95" s="22">
        <v>-223.5</v>
      </c>
    </row>
  </sheetData>
  <mergeCells count="5">
    <mergeCell ref="D5:H5"/>
    <mergeCell ref="D25:H25"/>
    <mergeCell ref="D44:H44"/>
    <mergeCell ref="D62:H62"/>
    <mergeCell ref="D81:H81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L22"/>
  <sheetViews>
    <sheetView showGridLines="0" workbookViewId="0">
      <selection activeCell="M17" sqref="M17"/>
    </sheetView>
  </sheetViews>
  <sheetFormatPr defaultRowHeight="14.4" x14ac:dyDescent="0.3"/>
  <cols>
    <col min="3" max="3" width="21.33203125" bestFit="1" customWidth="1"/>
    <col min="4" max="4" width="18.109375" bestFit="1" customWidth="1"/>
    <col min="7" max="7" width="21.33203125" bestFit="1" customWidth="1"/>
    <col min="8" max="8" width="18.109375" bestFit="1" customWidth="1"/>
    <col min="11" max="11" width="21.33203125" bestFit="1" customWidth="1"/>
    <col min="12" max="12" width="17" bestFit="1" customWidth="1"/>
    <col min="15" max="15" width="21.33203125" bestFit="1" customWidth="1"/>
    <col min="16" max="16" width="17" bestFit="1" customWidth="1"/>
    <col min="19" max="19" width="21.33203125" bestFit="1" customWidth="1"/>
    <col min="20" max="20" width="17" bestFit="1" customWidth="1"/>
  </cols>
  <sheetData>
    <row r="4" spans="3:12" ht="18.600000000000001" thickBot="1" x14ac:dyDescent="0.35">
      <c r="C4" s="1"/>
      <c r="D4" s="1"/>
      <c r="G4" s="40" t="s">
        <v>4</v>
      </c>
      <c r="H4" s="40"/>
      <c r="K4" s="40" t="s">
        <v>5</v>
      </c>
      <c r="L4" s="40"/>
    </row>
    <row r="5" spans="3:12" ht="15" thickTop="1" x14ac:dyDescent="0.3">
      <c r="C5" s="3" t="s">
        <v>3</v>
      </c>
      <c r="D5" s="7">
        <v>46310</v>
      </c>
      <c r="G5" s="3" t="s">
        <v>3</v>
      </c>
      <c r="H5" s="7">
        <v>46310</v>
      </c>
      <c r="K5" s="3" t="s">
        <v>3</v>
      </c>
      <c r="L5" s="7">
        <v>46310</v>
      </c>
    </row>
    <row r="6" spans="3:12" x14ac:dyDescent="0.3">
      <c r="C6" s="3" t="s">
        <v>2</v>
      </c>
      <c r="D6" s="5">
        <v>86.2</v>
      </c>
      <c r="G6" s="3" t="s">
        <v>2</v>
      </c>
      <c r="H6" s="9">
        <v>157.08000000000001</v>
      </c>
      <c r="K6" s="3" t="s">
        <v>2</v>
      </c>
      <c r="L6" s="9">
        <v>92.67</v>
      </c>
    </row>
    <row r="7" spans="3:12" x14ac:dyDescent="0.3">
      <c r="C7" s="3" t="s">
        <v>0</v>
      </c>
      <c r="D7" s="6">
        <v>121775000</v>
      </c>
      <c r="G7" s="3" t="s">
        <v>0</v>
      </c>
      <c r="H7" s="6">
        <v>2378125000</v>
      </c>
      <c r="K7" s="3" t="s">
        <v>0</v>
      </c>
      <c r="L7" s="6">
        <v>799400000</v>
      </c>
    </row>
    <row r="8" spans="3:12" x14ac:dyDescent="0.3">
      <c r="C8" s="3" t="s">
        <v>1</v>
      </c>
      <c r="D8" s="10">
        <f>ROUND(D7*D6/1000000,0)</f>
        <v>10497</v>
      </c>
      <c r="G8" s="3" t="s">
        <v>1</v>
      </c>
      <c r="H8" s="10">
        <f>ROUND(H6*H7/1000000,0)</f>
        <v>373556</v>
      </c>
      <c r="K8" s="3" t="s">
        <v>1</v>
      </c>
      <c r="L8" s="10">
        <f>ROUND(L6*L7/1000000,0)</f>
        <v>74080</v>
      </c>
    </row>
    <row r="9" spans="3:12" x14ac:dyDescent="0.3">
      <c r="C9" s="3" t="s">
        <v>8</v>
      </c>
      <c r="D9" s="10">
        <v>5600</v>
      </c>
      <c r="G9" s="3" t="s">
        <v>8</v>
      </c>
      <c r="H9" s="10">
        <v>35020</v>
      </c>
      <c r="K9" s="3" t="s">
        <v>8</v>
      </c>
      <c r="L9" s="10">
        <v>7860</v>
      </c>
    </row>
    <row r="10" spans="3:12" x14ac:dyDescent="0.3">
      <c r="C10" s="3" t="s">
        <v>9</v>
      </c>
      <c r="D10" s="10">
        <v>143</v>
      </c>
      <c r="G10" s="3" t="s">
        <v>9</v>
      </c>
      <c r="H10" s="10">
        <v>9940</v>
      </c>
      <c r="K10" s="3" t="s">
        <v>9</v>
      </c>
      <c r="L10" s="10">
        <v>1450</v>
      </c>
    </row>
    <row r="11" spans="3:12" x14ac:dyDescent="0.3">
      <c r="C11" s="3" t="s">
        <v>10</v>
      </c>
      <c r="D11" s="10">
        <v>1140</v>
      </c>
      <c r="G11" s="3" t="s">
        <v>10</v>
      </c>
      <c r="H11" s="10">
        <v>24750</v>
      </c>
      <c r="K11" s="3" t="s">
        <v>10</v>
      </c>
      <c r="L11" s="10">
        <v>4980</v>
      </c>
    </row>
    <row r="15" spans="3:12" ht="18.600000000000001" thickBot="1" x14ac:dyDescent="0.35">
      <c r="C15" s="40" t="s">
        <v>6</v>
      </c>
      <c r="D15" s="40"/>
      <c r="G15" s="40" t="s">
        <v>7</v>
      </c>
      <c r="H15" s="40"/>
    </row>
    <row r="16" spans="3:12" ht="15" thickTop="1" x14ac:dyDescent="0.3">
      <c r="C16" s="3" t="s">
        <v>3</v>
      </c>
      <c r="D16" s="7">
        <v>46310</v>
      </c>
      <c r="G16" s="3" t="s">
        <v>3</v>
      </c>
      <c r="H16" s="7">
        <v>46310</v>
      </c>
    </row>
    <row r="17" spans="3:8" x14ac:dyDescent="0.3">
      <c r="C17" s="3" t="s">
        <v>2</v>
      </c>
      <c r="D17" s="9">
        <v>104.07</v>
      </c>
      <c r="G17" s="3" t="s">
        <v>2</v>
      </c>
      <c r="H17" s="9">
        <v>103.08</v>
      </c>
    </row>
    <row r="18" spans="3:8" x14ac:dyDescent="0.3">
      <c r="C18" s="3" t="s">
        <v>0</v>
      </c>
      <c r="D18" s="6">
        <v>331730769</v>
      </c>
      <c r="G18" s="3" t="s">
        <v>0</v>
      </c>
      <c r="H18" s="6">
        <v>236700000</v>
      </c>
    </row>
    <row r="19" spans="3:8" x14ac:dyDescent="0.3">
      <c r="C19" s="3" t="s">
        <v>1</v>
      </c>
      <c r="D19" s="10">
        <f>ROUND(D17*D18/1000000,0)</f>
        <v>34523</v>
      </c>
      <c r="G19" s="3" t="s">
        <v>1</v>
      </c>
      <c r="H19" s="10">
        <f>ROUND(H17*H18/1000000,0)</f>
        <v>24399</v>
      </c>
    </row>
    <row r="20" spans="3:8" x14ac:dyDescent="0.3">
      <c r="C20" s="3" t="s">
        <v>8</v>
      </c>
      <c r="D20" s="10">
        <v>6540</v>
      </c>
      <c r="G20" s="3" t="s">
        <v>8</v>
      </c>
      <c r="H20" s="10">
        <v>2430</v>
      </c>
    </row>
    <row r="21" spans="3:8" x14ac:dyDescent="0.3">
      <c r="C21" s="3" t="s">
        <v>9</v>
      </c>
      <c r="D21" s="10">
        <v>956</v>
      </c>
      <c r="G21" s="3" t="s">
        <v>9</v>
      </c>
      <c r="H21" s="11">
        <v>254.8</v>
      </c>
    </row>
    <row r="22" spans="3:8" x14ac:dyDescent="0.3">
      <c r="C22" s="3" t="s">
        <v>10</v>
      </c>
      <c r="D22" s="10">
        <v>3480</v>
      </c>
      <c r="G22" s="3" t="s">
        <v>10</v>
      </c>
      <c r="H22" s="10">
        <v>1350</v>
      </c>
    </row>
  </sheetData>
  <mergeCells count="4">
    <mergeCell ref="G4:H4"/>
    <mergeCell ref="K4:L4"/>
    <mergeCell ref="C15:D15"/>
    <mergeCell ref="G15:H15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1458-AB95-4659-9272-3F9A456C437A}">
  <dimension ref="C3:D129"/>
  <sheetViews>
    <sheetView showGridLines="0" tabSelected="1" workbookViewId="0">
      <selection activeCell="C22" activeCellId="3" sqref="C5:C9 C12:C15 C18:C19 C22:C25"/>
    </sheetView>
  </sheetViews>
  <sheetFormatPr defaultRowHeight="14.4" x14ac:dyDescent="0.3"/>
  <cols>
    <col min="3" max="3" width="29.77734375" customWidth="1"/>
    <col min="4" max="4" width="11.6640625" bestFit="1" customWidth="1"/>
  </cols>
  <sheetData>
    <row r="3" spans="3:4" ht="15" thickBot="1" x14ac:dyDescent="0.35">
      <c r="C3" s="1"/>
      <c r="D3" s="1"/>
    </row>
    <row r="4" spans="3:4" ht="15" thickTop="1" x14ac:dyDescent="0.3">
      <c r="C4" s="24" t="s">
        <v>29</v>
      </c>
    </row>
    <row r="5" spans="3:4" x14ac:dyDescent="0.3">
      <c r="C5" s="14" t="s">
        <v>30</v>
      </c>
      <c r="D5" s="27">
        <f>Raw_Financial!D9/Raw_Financial!D8</f>
        <v>0.42321428571428571</v>
      </c>
    </row>
    <row r="6" spans="3:4" x14ac:dyDescent="0.3">
      <c r="C6" s="14" t="s">
        <v>31</v>
      </c>
      <c r="D6" s="27">
        <f>Raw_Financial!D10/Raw_Financial!D8</f>
        <v>0.13586309523809523</v>
      </c>
    </row>
    <row r="7" spans="3:4" x14ac:dyDescent="0.3">
      <c r="C7" s="14" t="s">
        <v>32</v>
      </c>
      <c r="D7" s="27">
        <f>Raw_Financial!D11/Raw_Financial!D8</f>
        <v>8.7351190476190471E-2</v>
      </c>
    </row>
    <row r="8" spans="3:4" x14ac:dyDescent="0.3">
      <c r="C8" s="14" t="s">
        <v>45</v>
      </c>
      <c r="D8" s="27">
        <f>Raw_Financial!D11/Raw_Financial!D15</f>
        <v>7.5314344367462149E-2</v>
      </c>
    </row>
    <row r="9" spans="3:4" x14ac:dyDescent="0.3">
      <c r="C9" s="14" t="s">
        <v>44</v>
      </c>
      <c r="D9" s="27">
        <f>Raw_Financial!D11/Raw_Financial!D16</f>
        <v>2.3293650793650795</v>
      </c>
    </row>
    <row r="11" spans="3:4" x14ac:dyDescent="0.3">
      <c r="C11" s="24" t="s">
        <v>33</v>
      </c>
    </row>
    <row r="12" spans="3:4" x14ac:dyDescent="0.3">
      <c r="C12" s="14" t="s">
        <v>52</v>
      </c>
      <c r="D12" s="27">
        <f>(Raw_Financial!D8/Raw_Financial!H8)^(1/4)-1</f>
        <v>-1.3900498161393826E-2</v>
      </c>
    </row>
    <row r="13" spans="3:4" x14ac:dyDescent="0.3">
      <c r="C13" s="14" t="s">
        <v>53</v>
      </c>
      <c r="D13" s="27">
        <f>(Raw_Financial!$D$10/Raw_Financial!$H$10)^(1/4)-1</f>
        <v>5.0394353600168973E-2</v>
      </c>
    </row>
    <row r="14" spans="3:4" x14ac:dyDescent="0.3">
      <c r="C14" s="14" t="s">
        <v>54</v>
      </c>
      <c r="D14" s="27">
        <f>(Raw_Financial!$D$11/Raw_Financial!$H$11)^(1/4)-1</f>
        <v>6.1693189374749213E-2</v>
      </c>
    </row>
    <row r="15" spans="3:4" x14ac:dyDescent="0.3">
      <c r="C15" s="14" t="s">
        <v>55</v>
      </c>
      <c r="D15" s="27">
        <f>(Raw_Financial!D14/Raw_Financial!G14)^(1/3)-1</f>
        <v>0.58850264916558759</v>
      </c>
    </row>
    <row r="17" spans="3:4" x14ac:dyDescent="0.3">
      <c r="C17" s="25" t="s">
        <v>34</v>
      </c>
    </row>
    <row r="18" spans="3:4" x14ac:dyDescent="0.3">
      <c r="C18" s="14" t="s">
        <v>35</v>
      </c>
      <c r="D18" s="28">
        <f>'Market Data '!D9/Raw_Financial!D16</f>
        <v>22.222222222222221</v>
      </c>
    </row>
    <row r="19" spans="3:4" x14ac:dyDescent="0.3">
      <c r="C19" s="14" t="s">
        <v>36</v>
      </c>
      <c r="D19" s="29">
        <f>'Market Data '!D10/'Market Data '!D9</f>
        <v>2.5535714285714287E-2</v>
      </c>
    </row>
    <row r="21" spans="3:4" x14ac:dyDescent="0.3">
      <c r="C21" s="24" t="s">
        <v>37</v>
      </c>
    </row>
    <row r="22" spans="3:4" x14ac:dyDescent="0.3">
      <c r="C22" s="14" t="s">
        <v>38</v>
      </c>
      <c r="D22" s="30">
        <f>'Market Data '!D6/Raw_Financial!D14</f>
        <v>17.920997920997923</v>
      </c>
    </row>
    <row r="23" spans="3:4" x14ac:dyDescent="0.3">
      <c r="C23" s="14" t="s">
        <v>39</v>
      </c>
      <c r="D23" s="28">
        <f>'Market Data '!D8/Raw_Financial!D16</f>
        <v>41.654761904761905</v>
      </c>
    </row>
    <row r="24" spans="3:4" x14ac:dyDescent="0.3">
      <c r="C24" s="14" t="s">
        <v>40</v>
      </c>
      <c r="D24" s="16">
        <f>'Market Data '!D8+'Market Data '!D9-'Market Data '!D10</f>
        <v>15954</v>
      </c>
    </row>
    <row r="25" spans="3:4" x14ac:dyDescent="0.3">
      <c r="C25" s="14" t="s">
        <v>41</v>
      </c>
      <c r="D25" s="28">
        <f>D24/'Market Data '!D11</f>
        <v>13.994736842105263</v>
      </c>
    </row>
    <row r="29" spans="3:4" ht="18.600000000000001" thickBot="1" x14ac:dyDescent="0.35">
      <c r="C29" s="2" t="s">
        <v>42</v>
      </c>
      <c r="D29" s="1"/>
    </row>
    <row r="30" spans="3:4" ht="15" thickTop="1" x14ac:dyDescent="0.3">
      <c r="C30" s="24" t="s">
        <v>29</v>
      </c>
    </row>
    <row r="31" spans="3:4" x14ac:dyDescent="0.3">
      <c r="C31" s="14" t="s">
        <v>30</v>
      </c>
      <c r="D31" s="27">
        <f>Raw_Financial!D29/Raw_Financial!D28</f>
        <v>0.50176946410515677</v>
      </c>
    </row>
    <row r="32" spans="3:4" x14ac:dyDescent="0.3">
      <c r="C32" s="14" t="s">
        <v>31</v>
      </c>
      <c r="D32" s="27">
        <f>Raw_Financial!D30/Raw_Financial!D28</f>
        <v>0.22690504641970768</v>
      </c>
    </row>
    <row r="33" spans="3:4" x14ac:dyDescent="0.3">
      <c r="C33" s="14" t="s">
        <v>32</v>
      </c>
      <c r="D33" s="27">
        <f>Raw_Financial!D31/Raw_Financial!D28</f>
        <v>0.18436896773600514</v>
      </c>
    </row>
    <row r="34" spans="3:4" x14ac:dyDescent="0.3">
      <c r="C34" s="14" t="s">
        <v>45</v>
      </c>
      <c r="D34" s="27">
        <f>Raw_Financial!D31/Raw_Financial!D33</f>
        <v>0.12682479588368728</v>
      </c>
    </row>
    <row r="35" spans="3:4" x14ac:dyDescent="0.3">
      <c r="C35" s="14" t="s">
        <v>44</v>
      </c>
      <c r="D35" s="27">
        <f>Raw_Financial!D31/Raw_Financial!D34</f>
        <v>0.29544659461250944</v>
      </c>
    </row>
    <row r="37" spans="3:4" x14ac:dyDescent="0.3">
      <c r="C37" s="24" t="s">
        <v>33</v>
      </c>
    </row>
    <row r="38" spans="3:4" x14ac:dyDescent="0.3">
      <c r="C38" s="14" t="s">
        <v>52</v>
      </c>
      <c r="D38" s="27">
        <f>(Raw_Financial!D28/Raw_Financial!H28)^(1/4)-1</f>
        <v>2.0689740597511719E-2</v>
      </c>
    </row>
    <row r="39" spans="3:4" x14ac:dyDescent="0.3">
      <c r="C39" s="14" t="s">
        <v>53</v>
      </c>
      <c r="D39" s="27">
        <f>(Raw_Financial!$D$30/Raw_Financial!$H$30)^(1/4)-1</f>
        <v>2.6116125555549097E-2</v>
      </c>
    </row>
    <row r="40" spans="3:4" x14ac:dyDescent="0.3">
      <c r="C40" s="14" t="s">
        <v>54</v>
      </c>
      <c r="D40" s="27">
        <f>(Raw_Financial!$D$31/Raw_Financial!$H$31)^(1/4)-1</f>
        <v>2.1415855733719846E-2</v>
      </c>
    </row>
    <row r="41" spans="3:4" x14ac:dyDescent="0.3">
      <c r="C41" s="14" t="s">
        <v>55</v>
      </c>
      <c r="D41" s="27">
        <f>(Raw_Financial!D36/Raw_Financial!G36)^(1/3)-1</f>
        <v>3.9127071473470387E-2</v>
      </c>
    </row>
    <row r="43" spans="3:4" x14ac:dyDescent="0.3">
      <c r="C43" s="25" t="s">
        <v>34</v>
      </c>
    </row>
    <row r="44" spans="3:4" x14ac:dyDescent="0.3">
      <c r="C44" s="14" t="s">
        <v>35</v>
      </c>
      <c r="D44" s="28">
        <f>'Market Data '!H9/Raw_Financial!D34</f>
        <v>0.64480491981366572</v>
      </c>
    </row>
    <row r="45" spans="3:4" x14ac:dyDescent="0.3">
      <c r="C45" s="14" t="s">
        <v>36</v>
      </c>
      <c r="D45" s="28">
        <f>'Market Data '!H10/'Market Data '!H9</f>
        <v>0.28383780696744715</v>
      </c>
    </row>
    <row r="47" spans="3:4" x14ac:dyDescent="0.3">
      <c r="C47" s="24" t="s">
        <v>37</v>
      </c>
    </row>
    <row r="48" spans="3:4" x14ac:dyDescent="0.3">
      <c r="C48" s="14" t="s">
        <v>38</v>
      </c>
      <c r="D48" s="31">
        <f>'Market Data '!H6/Raw_Financial!D36</f>
        <v>23.728096676737163</v>
      </c>
    </row>
    <row r="49" spans="3:4" x14ac:dyDescent="0.3">
      <c r="C49" s="14" t="s">
        <v>39</v>
      </c>
      <c r="D49" s="31">
        <f>'Market Data '!H8/Raw_Financial!D34</f>
        <v>6.8780909944578443</v>
      </c>
    </row>
    <row r="50" spans="3:4" x14ac:dyDescent="0.3">
      <c r="C50" s="14" t="s">
        <v>40</v>
      </c>
      <c r="D50" s="16">
        <f>'Market Data '!H8+'Market Data '!H9-'Market Data '!H10</f>
        <v>398636</v>
      </c>
    </row>
    <row r="51" spans="3:4" x14ac:dyDescent="0.3">
      <c r="C51" s="14" t="s">
        <v>41</v>
      </c>
      <c r="D51" s="28">
        <f>D50/'Market Data '!H11</f>
        <v>16.106505050505049</v>
      </c>
    </row>
    <row r="55" spans="3:4" ht="18.600000000000001" thickBot="1" x14ac:dyDescent="0.35">
      <c r="C55" s="2" t="s">
        <v>5</v>
      </c>
      <c r="D55" s="1"/>
    </row>
    <row r="56" spans="3:4" ht="15" thickTop="1" x14ac:dyDescent="0.3">
      <c r="C56" s="24" t="s">
        <v>29</v>
      </c>
    </row>
    <row r="57" spans="3:4" x14ac:dyDescent="0.3">
      <c r="C57" s="14" t="s">
        <v>30</v>
      </c>
      <c r="D57" s="27">
        <f>Raw_Financial!D48/Raw_Financial!D47</f>
        <v>0.59153323514040002</v>
      </c>
    </row>
    <row r="58" spans="3:4" x14ac:dyDescent="0.3">
      <c r="C58" s="14" t="s">
        <v>31</v>
      </c>
      <c r="D58" s="27">
        <f>Raw_Financial!D49/Raw_Financial!D47</f>
        <v>0.14871478120397205</v>
      </c>
    </row>
    <row r="59" spans="3:4" x14ac:dyDescent="0.3">
      <c r="C59" s="14" t="s">
        <v>32</v>
      </c>
      <c r="D59" s="27">
        <f>Raw_Financial!D50/Raw_Financial!D47</f>
        <v>9.6830902266356253E-2</v>
      </c>
    </row>
    <row r="60" spans="3:4" x14ac:dyDescent="0.3">
      <c r="C60" s="14" t="s">
        <v>45</v>
      </c>
      <c r="D60" s="27">
        <f>Raw_Financial!D50/Raw_Financial!D54</f>
        <v>0.12138177486599167</v>
      </c>
    </row>
    <row r="61" spans="3:4" x14ac:dyDescent="0.3">
      <c r="C61" s="14" t="s">
        <v>44</v>
      </c>
      <c r="D61" s="27">
        <f>Raw_Financial!D50/Raw_Financial!D55</f>
        <v>3.6007067137809186</v>
      </c>
    </row>
    <row r="63" spans="3:4" x14ac:dyDescent="0.3">
      <c r="C63" s="24" t="s">
        <v>33</v>
      </c>
    </row>
    <row r="64" spans="3:4" x14ac:dyDescent="0.3">
      <c r="C64" s="14" t="s">
        <v>52</v>
      </c>
      <c r="D64" s="27">
        <f>(Raw_Financial!D47/Raw_Financial!H47)^(1/4)-1</f>
        <v>4.0348052001791368E-2</v>
      </c>
    </row>
    <row r="65" spans="3:4" x14ac:dyDescent="0.3">
      <c r="C65" s="14" t="s">
        <v>53</v>
      </c>
      <c r="D65" s="27">
        <f>(Raw_Financial!$D$49/Raw_Financial!$H$49)^(1/4)-1</f>
        <v>1.9879766777048058E-2</v>
      </c>
    </row>
    <row r="66" spans="3:4" x14ac:dyDescent="0.3">
      <c r="C66" s="14" t="s">
        <v>54</v>
      </c>
      <c r="D66" s="27">
        <f>(Raw_Financial!$D$50/Raw_Financial!$H$50)^(1/4)-1</f>
        <v>3.3692796479837916E-2</v>
      </c>
    </row>
    <row r="67" spans="3:4" x14ac:dyDescent="0.3">
      <c r="C67" s="14" t="s">
        <v>55</v>
      </c>
      <c r="D67" s="27">
        <f>(Raw_Financial!D53/Raw_Financial!G53)^(1/3)-1</f>
        <v>-2.848096122266186E-2</v>
      </c>
    </row>
    <row r="69" spans="3:4" x14ac:dyDescent="0.3">
      <c r="C69" s="25" t="s">
        <v>34</v>
      </c>
    </row>
    <row r="70" spans="3:4" x14ac:dyDescent="0.3">
      <c r="C70" s="14" t="s">
        <v>35</v>
      </c>
      <c r="D70" s="28">
        <f>'Market Data '!L9/Raw_Financial!D73</f>
        <v>4.194236926360726</v>
      </c>
    </row>
    <row r="71" spans="3:4" x14ac:dyDescent="0.3">
      <c r="C71" s="14" t="s">
        <v>36</v>
      </c>
      <c r="D71" s="29">
        <f>'Market Data '!L10/'Market Data '!L9</f>
        <v>0.18447837150127228</v>
      </c>
    </row>
    <row r="73" spans="3:4" x14ac:dyDescent="0.3">
      <c r="C73" s="24" t="s">
        <v>37</v>
      </c>
    </row>
    <row r="74" spans="3:4" x14ac:dyDescent="0.3">
      <c r="C74" s="14" t="s">
        <v>38</v>
      </c>
      <c r="D74" s="28">
        <f>'Market Data '!L6/Raw_Financial!D53</f>
        <v>36.484251968503941</v>
      </c>
    </row>
    <row r="75" spans="3:4" x14ac:dyDescent="0.3">
      <c r="C75" s="14" t="s">
        <v>39</v>
      </c>
      <c r="D75" s="31">
        <f>'Market Data '!L8/Raw_Financial!D55</f>
        <v>130.8833922261484</v>
      </c>
    </row>
    <row r="76" spans="3:4" x14ac:dyDescent="0.3">
      <c r="C76" s="14" t="s">
        <v>40</v>
      </c>
      <c r="D76" s="16">
        <f>'Market Data '!L8+'Market Data '!L9-'Market Data '!L10</f>
        <v>80490</v>
      </c>
    </row>
    <row r="77" spans="3:4" x14ac:dyDescent="0.3">
      <c r="C77" s="14" t="s">
        <v>41</v>
      </c>
      <c r="D77" s="28">
        <f>D76/'Market Data '!L11</f>
        <v>16.162650602409638</v>
      </c>
    </row>
    <row r="81" spans="3:4" ht="18.600000000000001" thickBot="1" x14ac:dyDescent="0.35">
      <c r="C81" s="2" t="s">
        <v>6</v>
      </c>
      <c r="D81" s="1"/>
    </row>
    <row r="82" spans="3:4" ht="15" thickTop="1" x14ac:dyDescent="0.3">
      <c r="C82" s="24" t="s">
        <v>29</v>
      </c>
    </row>
    <row r="83" spans="3:4" x14ac:dyDescent="0.3">
      <c r="C83" s="14" t="s">
        <v>30</v>
      </c>
      <c r="D83" s="27">
        <f>Raw_Financial!D66/Raw_Financial!D65</f>
        <v>0.36761158021712909</v>
      </c>
    </row>
    <row r="84" spans="3:4" x14ac:dyDescent="0.3">
      <c r="C84" s="14" t="s">
        <v>31</v>
      </c>
      <c r="D84" s="27">
        <f>Raw_Financial!D67/Raw_Financial!D65</f>
        <v>0.15162846803377564</v>
      </c>
    </row>
    <row r="85" spans="3:4" x14ac:dyDescent="0.3">
      <c r="C85" s="14" t="s">
        <v>32</v>
      </c>
      <c r="D85" s="27">
        <f>Raw_Financial!D68/Raw_Financial!D65</f>
        <v>0.11791314837153197</v>
      </c>
    </row>
    <row r="86" spans="3:4" x14ac:dyDescent="0.3">
      <c r="C86" s="14" t="s">
        <v>45</v>
      </c>
      <c r="D86" s="27">
        <f>Raw_Financial!D68/Raw_Financial!D72</f>
        <v>0.10536811469224965</v>
      </c>
    </row>
    <row r="87" spans="3:4" x14ac:dyDescent="0.3">
      <c r="C87" s="14" t="s">
        <v>44</v>
      </c>
      <c r="D87" s="27">
        <f>Raw_Financial!D68/Raw_Financial!D73</f>
        <v>1.0432230522945571</v>
      </c>
    </row>
    <row r="89" spans="3:4" x14ac:dyDescent="0.3">
      <c r="C89" s="24" t="s">
        <v>33</v>
      </c>
    </row>
    <row r="90" spans="3:4" x14ac:dyDescent="0.3">
      <c r="C90" s="14" t="s">
        <v>52</v>
      </c>
      <c r="D90" s="27">
        <f>(Raw_Financial!D65/Raw_Financial!H65)^(1/4)-1</f>
        <v>2.7326807029341982E-3</v>
      </c>
    </row>
    <row r="91" spans="3:4" x14ac:dyDescent="0.3">
      <c r="C91" s="14" t="s">
        <v>53</v>
      </c>
      <c r="D91" s="27">
        <f>(Raw_Financial!$D$67/Raw_Financial!$H$67)^(1/4)-1</f>
        <v>3.3916933187891019E-2</v>
      </c>
    </row>
    <row r="92" spans="3:4" x14ac:dyDescent="0.3">
      <c r="C92" s="14" t="s">
        <v>54</v>
      </c>
      <c r="D92" s="27">
        <f>(Raw_Financial!$D$68/Raw_Financial!$H$68)^(1/4)-1</f>
        <v>2.7035972466620262E-3</v>
      </c>
    </row>
    <row r="93" spans="3:4" x14ac:dyDescent="0.3">
      <c r="C93" s="14" t="s">
        <v>55</v>
      </c>
      <c r="D93" s="27">
        <f>(Raw_Financial!D71/Raw_Financial!G71)^(1/3)-1</f>
        <v>4.0559198337166924E-2</v>
      </c>
    </row>
    <row r="95" spans="3:4" x14ac:dyDescent="0.3">
      <c r="C95" s="25" t="s">
        <v>34</v>
      </c>
    </row>
    <row r="96" spans="3:4" x14ac:dyDescent="0.3">
      <c r="C96" s="14" t="s">
        <v>35</v>
      </c>
      <c r="D96" s="28">
        <f>'Market Data '!D20/Raw_Financial!D73</f>
        <v>3.4898612593383138</v>
      </c>
    </row>
    <row r="97" spans="3:4" x14ac:dyDescent="0.3">
      <c r="C97" s="14" t="s">
        <v>36</v>
      </c>
      <c r="D97" s="28">
        <f>'Market Data '!D21/'Market Data '!D20</f>
        <v>0.14617737003058104</v>
      </c>
    </row>
    <row r="99" spans="3:4" x14ac:dyDescent="0.3">
      <c r="C99" s="24" t="s">
        <v>37</v>
      </c>
    </row>
    <row r="100" spans="3:4" x14ac:dyDescent="0.3">
      <c r="C100" s="14" t="s">
        <v>38</v>
      </c>
      <c r="D100" s="28">
        <f>'Market Data '!D17/Raw_Financial!D71</f>
        <v>17.729131175468481</v>
      </c>
    </row>
    <row r="101" spans="3:4" x14ac:dyDescent="0.3">
      <c r="C101" s="14" t="s">
        <v>39</v>
      </c>
      <c r="D101" s="31">
        <f>'Market Data '!D19/Raw_Financial!D73</f>
        <v>18.422091782283886</v>
      </c>
    </row>
    <row r="102" spans="3:4" x14ac:dyDescent="0.3">
      <c r="C102" s="14" t="s">
        <v>40</v>
      </c>
      <c r="D102" s="16">
        <f>'Market Data '!D19+'Market Data '!D20-'Market Data '!D21</f>
        <v>40107</v>
      </c>
    </row>
    <row r="103" spans="3:4" x14ac:dyDescent="0.3">
      <c r="C103" s="14" t="s">
        <v>41</v>
      </c>
      <c r="D103" s="28">
        <f>D102/'Market Data '!D22</f>
        <v>11.525</v>
      </c>
    </row>
    <row r="107" spans="3:4" ht="18.600000000000001" thickBot="1" x14ac:dyDescent="0.35">
      <c r="C107" s="2" t="s">
        <v>7</v>
      </c>
      <c r="D107" s="1"/>
    </row>
    <row r="108" spans="3:4" ht="15" thickTop="1" x14ac:dyDescent="0.3">
      <c r="C108" s="24" t="s">
        <v>29</v>
      </c>
    </row>
    <row r="109" spans="3:4" x14ac:dyDescent="0.3">
      <c r="C109" s="14" t="s">
        <v>30</v>
      </c>
      <c r="D109" s="27">
        <f>Raw_Financial!D85/Raw_Financial!D84</f>
        <v>0.45648649082531984</v>
      </c>
    </row>
    <row r="110" spans="3:4" x14ac:dyDescent="0.3">
      <c r="C110" s="14" t="s">
        <v>31</v>
      </c>
      <c r="D110" s="27">
        <f>Raw_Financial!D86/Raw_Financial!D84</f>
        <v>0.17466407667239248</v>
      </c>
    </row>
    <row r="111" spans="3:4" x14ac:dyDescent="0.3">
      <c r="C111" s="14" t="s">
        <v>32</v>
      </c>
      <c r="D111" s="27">
        <f>Raw_Financial!D87/Raw_Financial!D84</f>
        <v>0.11956783483970396</v>
      </c>
    </row>
    <row r="112" spans="3:4" x14ac:dyDescent="0.3">
      <c r="C112" s="14" t="s">
        <v>45</v>
      </c>
      <c r="D112" s="27">
        <f>Raw_Financial!D87/Raw_Financial!D91</f>
        <v>8.1794919665703889E-2</v>
      </c>
    </row>
    <row r="113" spans="3:4" x14ac:dyDescent="0.3">
      <c r="C113" s="14" t="s">
        <v>44</v>
      </c>
      <c r="D113" s="27">
        <f>Raw_Financial!D87/Raw_Financial!D92</f>
        <v>0.17130502783016696</v>
      </c>
    </row>
    <row r="115" spans="3:4" x14ac:dyDescent="0.3">
      <c r="C115" s="24" t="s">
        <v>33</v>
      </c>
    </row>
    <row r="116" spans="3:4" x14ac:dyDescent="0.3">
      <c r="C116" s="14" t="s">
        <v>52</v>
      </c>
      <c r="D116" s="27">
        <f>(Raw_Financial!D84/Raw_Financial!H84)^(1/4)-1</f>
        <v>3.7527434950005212E-2</v>
      </c>
    </row>
    <row r="117" spans="3:4" x14ac:dyDescent="0.3">
      <c r="C117" s="14" t="s">
        <v>53</v>
      </c>
      <c r="D117" s="27">
        <f>(Raw_Financial!$D$86/Raw_Financial!$H$86)^(1/4)-1</f>
        <v>0.16149741120892536</v>
      </c>
    </row>
    <row r="118" spans="3:4" x14ac:dyDescent="0.3">
      <c r="C118" s="14" t="s">
        <v>54</v>
      </c>
      <c r="D118" s="27">
        <f>(Raw_Financial!$D$87/Raw_Financial!$H$87)^(1/4)-1</f>
        <v>0.15820666660968863</v>
      </c>
    </row>
    <row r="119" spans="3:4" x14ac:dyDescent="0.3">
      <c r="C119" s="14" t="s">
        <v>55</v>
      </c>
      <c r="D119" s="27">
        <f>(Raw_Financial!D90/Raw_Financial!G90)^(1/3)-1</f>
        <v>7.5924815563626069E-3</v>
      </c>
    </row>
    <row r="121" spans="3:4" x14ac:dyDescent="0.3">
      <c r="C121" s="25" t="s">
        <v>34</v>
      </c>
    </row>
    <row r="122" spans="3:4" x14ac:dyDescent="0.3">
      <c r="C122" s="14" t="s">
        <v>35</v>
      </c>
      <c r="D122" s="28">
        <f>'Market Data '!H20/Raw_Financial!D92</f>
        <v>0.55890335342012054</v>
      </c>
    </row>
    <row r="123" spans="3:4" x14ac:dyDescent="0.3">
      <c r="C123" s="14" t="s">
        <v>36</v>
      </c>
      <c r="D123" s="28">
        <f>'Market Data '!H21/'Market Data '!H20</f>
        <v>0.10485596707818931</v>
      </c>
    </row>
    <row r="125" spans="3:4" x14ac:dyDescent="0.3">
      <c r="C125" s="24" t="s">
        <v>37</v>
      </c>
    </row>
    <row r="126" spans="3:4" x14ac:dyDescent="0.3">
      <c r="C126" s="14" t="s">
        <v>38</v>
      </c>
      <c r="D126" s="31">
        <f>'Market Data '!H17/Raw_Financial!D90</f>
        <v>33.03846153846154</v>
      </c>
    </row>
    <row r="127" spans="3:4" x14ac:dyDescent="0.3">
      <c r="C127" s="14" t="s">
        <v>39</v>
      </c>
      <c r="D127" s="31">
        <f>'Market Data '!H19/Raw_Financial!D92</f>
        <v>5.6118036708220247</v>
      </c>
    </row>
    <row r="128" spans="3:4" x14ac:dyDescent="0.3">
      <c r="C128" s="14" t="s">
        <v>40</v>
      </c>
      <c r="D128" s="22">
        <f>'Market Data '!H19+'Market Data '!H20-'Market Data '!H21</f>
        <v>26574.2</v>
      </c>
    </row>
    <row r="129" spans="3:4" x14ac:dyDescent="0.3">
      <c r="C129" s="14" t="s">
        <v>41</v>
      </c>
      <c r="D129" s="23">
        <f>D128/'Market Data '!H22</f>
        <v>19.684592592592594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142F-2AB5-405F-B927-1DFC6B409351}">
  <dimension ref="C4:J21"/>
  <sheetViews>
    <sheetView showGridLines="0" workbookViewId="0">
      <selection activeCell="Q12" sqref="Q12"/>
    </sheetView>
  </sheetViews>
  <sheetFormatPr defaultRowHeight="14.4" x14ac:dyDescent="0.3"/>
  <cols>
    <col min="3" max="3" width="18.44140625" customWidth="1"/>
    <col min="4" max="4" width="10" bestFit="1" customWidth="1"/>
    <col min="7" max="7" width="10" bestFit="1" customWidth="1"/>
    <col min="10" max="10" width="11.77734375" customWidth="1"/>
  </cols>
  <sheetData>
    <row r="4" spans="3:10" ht="18.600000000000001" thickBot="1" x14ac:dyDescent="0.35">
      <c r="C4" s="1"/>
      <c r="D4" s="1"/>
      <c r="E4" s="26"/>
      <c r="F4" s="41" t="s">
        <v>51</v>
      </c>
      <c r="G4" s="41"/>
      <c r="H4" s="41"/>
      <c r="J4" s="38" t="s">
        <v>61</v>
      </c>
    </row>
    <row r="5" spans="3:10" ht="15" thickTop="1" x14ac:dyDescent="0.3">
      <c r="G5" s="26"/>
      <c r="J5" s="35"/>
    </row>
    <row r="6" spans="3:10" x14ac:dyDescent="0.3">
      <c r="C6" s="3" t="s">
        <v>46</v>
      </c>
      <c r="D6" s="32">
        <f>+'Calculations '!D22</f>
        <v>17.920997920997923</v>
      </c>
      <c r="G6" s="28">
        <f>MEDIAN('Calculations '!D48,'Calculations '!D74,'Calculations '!D100,'Calculations '!D126)</f>
        <v>28.38327910759935</v>
      </c>
      <c r="J6" s="27">
        <f>IFERROR((D6-G6)/G6,"N/M")</f>
        <v>-0.36860720521189716</v>
      </c>
    </row>
    <row r="7" spans="3:10" x14ac:dyDescent="0.3">
      <c r="C7" s="3" t="s">
        <v>47</v>
      </c>
      <c r="D7" s="33">
        <f>+'Calculations '!D23</f>
        <v>41.654761904761905</v>
      </c>
      <c r="G7" s="28">
        <f>MEDIAN('Calculations '!D49,'Calculations '!D75,'Calculations '!D101,'Calculations '!D127)</f>
        <v>12.650091388370864</v>
      </c>
      <c r="J7" s="27">
        <f t="shared" ref="J7:J8" si="0">IFERROR((D7-G7)/G7,"N/M")</f>
        <v>2.2928427649981109</v>
      </c>
    </row>
    <row r="8" spans="3:10" x14ac:dyDescent="0.3">
      <c r="C8" s="3" t="s">
        <v>41</v>
      </c>
      <c r="D8" s="34">
        <f>+'Calculations '!D25</f>
        <v>13.994736842105263</v>
      </c>
      <c r="G8" s="28">
        <f>MEDIAN('Calculations '!D129,'Calculations '!D103,'Calculations '!D77,'Calculations '!D51)</f>
        <v>16.134577826457345</v>
      </c>
      <c r="J8" s="27">
        <f t="shared" si="0"/>
        <v>-0.13262454136501722</v>
      </c>
    </row>
    <row r="10" spans="3:10" x14ac:dyDescent="0.3">
      <c r="C10" s="3" t="s">
        <v>48</v>
      </c>
      <c r="D10" s="27">
        <f>+'Calculations '!D6</f>
        <v>0.13586309523809523</v>
      </c>
      <c r="G10" s="27">
        <f>MEDIAN('Calculations '!D32,'Calculations '!D58,'Calculations '!D84,'Calculations '!D110)</f>
        <v>0.16314627235308404</v>
      </c>
      <c r="J10" s="27" cm="1">
        <f t="array" ref="J10">IFERROR((D10-G10)/G10,N/M)</f>
        <v>-0.16723138519488867</v>
      </c>
    </row>
    <row r="11" spans="3:10" x14ac:dyDescent="0.3">
      <c r="C11" s="3" t="s">
        <v>49</v>
      </c>
      <c r="D11" s="27">
        <f>+'Calculations '!D7</f>
        <v>8.7351190476190471E-2</v>
      </c>
      <c r="G11" s="27">
        <f>MEDIAN('Calculations '!D111,'Calculations '!D85,'Calculations '!D59,'Calculations '!D33)</f>
        <v>0.11874049160561796</v>
      </c>
      <c r="J11" s="27" cm="1">
        <f t="array" ref="J11">IFERROR((D11-G11)/G11,N/M)</f>
        <v>-0.26435212373621647</v>
      </c>
    </row>
    <row r="12" spans="3:10" x14ac:dyDescent="0.3">
      <c r="C12" s="3" t="s">
        <v>44</v>
      </c>
      <c r="D12" s="27">
        <f>+'Calculations '!D9</f>
        <v>2.3293650793650795</v>
      </c>
      <c r="G12" s="27">
        <f>MEDIAN('Calculations '!D35,'Calculations '!D61,'Calculations '!D87,'Calculations '!D113)</f>
        <v>0.66933482345353323</v>
      </c>
      <c r="J12" s="27" cm="1">
        <f t="array" ref="J12">IFERROR((D12-G12)/G12,N/M)</f>
        <v>2.480119362901771</v>
      </c>
    </row>
    <row r="13" spans="3:10" x14ac:dyDescent="0.3">
      <c r="C13" s="3" t="s">
        <v>45</v>
      </c>
      <c r="D13" s="27">
        <f>+'Calculations '!D8</f>
        <v>7.5314344367462149E-2</v>
      </c>
      <c r="G13" s="27">
        <f>MEDIAN('Calculations '!D112,'Calculations '!D86,'Calculations '!D60,'Calculations '!D34)</f>
        <v>0.11337494477912066</v>
      </c>
      <c r="J13" s="27" cm="1">
        <f t="array" ref="J13">IFERROR((D13-G13)/G13,N/M)</f>
        <v>-0.33570556956661751</v>
      </c>
    </row>
    <row r="15" spans="3:10" x14ac:dyDescent="0.3">
      <c r="C15" s="3" t="s">
        <v>52</v>
      </c>
      <c r="D15" s="27">
        <f>'Calculations '!D12</f>
        <v>-1.3900498161393826E-2</v>
      </c>
      <c r="G15" s="27">
        <f>MEDIAN('Calculations '!D38,'Calculations '!D64,'Calculations '!D90,'Calculations '!D116)</f>
        <v>2.9108587773758465E-2</v>
      </c>
      <c r="J15" s="27">
        <f>IFERROR((D15-G15)/G15,"N/M")</f>
        <v>-1.4775394213361732</v>
      </c>
    </row>
    <row r="16" spans="3:10" x14ac:dyDescent="0.3">
      <c r="C16" s="3" t="s">
        <v>53</v>
      </c>
      <c r="D16" s="27">
        <f>'Calculations '!D13</f>
        <v>5.0394353600168973E-2</v>
      </c>
      <c r="G16" s="27">
        <f>MEDIAN('Calculations '!D39,'Calculations '!D65,'Calculations '!D91,'Calculations '!D117)</f>
        <v>3.0016529371720058E-2</v>
      </c>
      <c r="J16" s="27">
        <f t="shared" ref="J16:J21" si="1">IFERROR((D16-G16)/G16,"N/M")</f>
        <v>0.67888675523052955</v>
      </c>
    </row>
    <row r="17" spans="3:10" x14ac:dyDescent="0.3">
      <c r="C17" s="3" t="s">
        <v>54</v>
      </c>
      <c r="D17" s="27">
        <f>'Calculations '!D14</f>
        <v>6.1693189374749213E-2</v>
      </c>
      <c r="G17" s="27">
        <f>MEDIAN('Calculations '!D118,'Calculations '!D92,'Calculations '!D66,'Calculations '!D40)</f>
        <v>2.7554326106778881E-2</v>
      </c>
      <c r="J17" s="27">
        <f t="shared" si="1"/>
        <v>1.2389656395759767</v>
      </c>
    </row>
    <row r="18" spans="3:10" x14ac:dyDescent="0.3">
      <c r="C18" s="3" t="s">
        <v>50</v>
      </c>
      <c r="D18" s="27">
        <f>'Calculations '!D15</f>
        <v>0.58850264916558759</v>
      </c>
      <c r="G18" s="27">
        <f>MEDIAN('Calculations '!D41,'Calculations '!D67,'Calculations '!D93,'Calculations '!D119)</f>
        <v>2.3359776514916497E-2</v>
      </c>
      <c r="J18" s="27">
        <f t="shared" si="1"/>
        <v>24.192991413671976</v>
      </c>
    </row>
    <row r="20" spans="3:10" x14ac:dyDescent="0.3">
      <c r="C20" s="3" t="s">
        <v>35</v>
      </c>
      <c r="D20" s="28">
        <f>'Calculations '!D18</f>
        <v>22.222222222222221</v>
      </c>
      <c r="G20" s="28">
        <f>MEDIAN('Calculations '!D44,'Calculations '!D70,'Calculations '!D96,'Calculations '!D122)</f>
        <v>2.0673330895759898</v>
      </c>
      <c r="J20" s="27">
        <f t="shared" si="1"/>
        <v>9.7492219489313179</v>
      </c>
    </row>
    <row r="21" spans="3:10" x14ac:dyDescent="0.3">
      <c r="C21" s="3" t="s">
        <v>36</v>
      </c>
      <c r="D21" s="28">
        <f>'Calculations '!D19</f>
        <v>2.5535714285714287E-2</v>
      </c>
      <c r="G21" s="28">
        <f>MEDIAN('Calculations '!D123,'Calculations '!D97,'Calculations '!D71,'Calculations '!D45)</f>
        <v>0.16532787076592664</v>
      </c>
      <c r="J21" s="27">
        <f t="shared" si="1"/>
        <v>-0.84554501205747656</v>
      </c>
    </row>
  </sheetData>
  <mergeCells count="1">
    <mergeCell ref="F4:H4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0FB6-0A92-4E56-B18F-CDE169CD7B5E}">
  <dimension ref="C2:C64"/>
  <sheetViews>
    <sheetView showGridLines="0" workbookViewId="0">
      <selection activeCell="K25" sqref="K25"/>
    </sheetView>
  </sheetViews>
  <sheetFormatPr defaultRowHeight="14.4" x14ac:dyDescent="0.3"/>
  <sheetData>
    <row r="2" spans="3:3" x14ac:dyDescent="0.3">
      <c r="C2" s="4" t="s">
        <v>62</v>
      </c>
    </row>
    <row r="4" spans="3:3" x14ac:dyDescent="0.3">
      <c r="C4" t="s">
        <v>63</v>
      </c>
    </row>
    <row r="5" spans="3:3" x14ac:dyDescent="0.3">
      <c r="C5" s="42" t="s">
        <v>64</v>
      </c>
    </row>
    <row r="6" spans="3:3" x14ac:dyDescent="0.3">
      <c r="C6" t="s">
        <v>65</v>
      </c>
    </row>
    <row r="7" spans="3:3" x14ac:dyDescent="0.3">
      <c r="C7" s="42" t="s">
        <v>66</v>
      </c>
    </row>
    <row r="8" spans="3:3" x14ac:dyDescent="0.3">
      <c r="C8" t="s">
        <v>67</v>
      </c>
    </row>
    <row r="9" spans="3:3" x14ac:dyDescent="0.3">
      <c r="C9" s="42" t="s">
        <v>68</v>
      </c>
    </row>
    <row r="10" spans="3:3" x14ac:dyDescent="0.3">
      <c r="C10" t="s">
        <v>69</v>
      </c>
    </row>
    <row r="11" spans="3:3" x14ac:dyDescent="0.3">
      <c r="C11" s="42" t="s">
        <v>70</v>
      </c>
    </row>
    <row r="12" spans="3:3" x14ac:dyDescent="0.3">
      <c r="C12" t="s">
        <v>71</v>
      </c>
    </row>
    <row r="13" spans="3:3" x14ac:dyDescent="0.3">
      <c r="C13" s="42" t="s">
        <v>72</v>
      </c>
    </row>
    <row r="14" spans="3:3" x14ac:dyDescent="0.3">
      <c r="C14" s="42" t="s">
        <v>73</v>
      </c>
    </row>
    <row r="15" spans="3:3" x14ac:dyDescent="0.3">
      <c r="C15" s="43" t="s">
        <v>74</v>
      </c>
    </row>
    <row r="16" spans="3:3" x14ac:dyDescent="0.3">
      <c r="C16" s="42" t="s">
        <v>75</v>
      </c>
    </row>
    <row r="17" spans="3:3" x14ac:dyDescent="0.3">
      <c r="C17" s="42" t="s">
        <v>76</v>
      </c>
    </row>
    <row r="18" spans="3:3" x14ac:dyDescent="0.3">
      <c r="C18" s="42" t="s">
        <v>77</v>
      </c>
    </row>
    <row r="19" spans="3:3" x14ac:dyDescent="0.3">
      <c r="C19" s="42"/>
    </row>
    <row r="20" spans="3:3" x14ac:dyDescent="0.3">
      <c r="C20" t="s">
        <v>78</v>
      </c>
    </row>
    <row r="21" spans="3:3" x14ac:dyDescent="0.3">
      <c r="C21" s="42" t="s">
        <v>79</v>
      </c>
    </row>
    <row r="22" spans="3:3" x14ac:dyDescent="0.3">
      <c r="C22" t="s">
        <v>80</v>
      </c>
    </row>
    <row r="23" spans="3:3" x14ac:dyDescent="0.3">
      <c r="C23" s="42" t="s">
        <v>81</v>
      </c>
    </row>
    <row r="24" spans="3:3" x14ac:dyDescent="0.3">
      <c r="C24" t="s">
        <v>82</v>
      </c>
    </row>
    <row r="25" spans="3:3" x14ac:dyDescent="0.3">
      <c r="C25" s="42" t="s">
        <v>83</v>
      </c>
    </row>
    <row r="26" spans="3:3" x14ac:dyDescent="0.3">
      <c r="C26" t="s">
        <v>84</v>
      </c>
    </row>
    <row r="27" spans="3:3" x14ac:dyDescent="0.3">
      <c r="C27" s="42" t="s">
        <v>85</v>
      </c>
    </row>
    <row r="29" spans="3:3" x14ac:dyDescent="0.3">
      <c r="C29" t="s">
        <v>86</v>
      </c>
    </row>
    <row r="30" spans="3:3" x14ac:dyDescent="0.3">
      <c r="C30" s="42" t="s">
        <v>87</v>
      </c>
    </row>
    <row r="31" spans="3:3" x14ac:dyDescent="0.3">
      <c r="C31" t="s">
        <v>88</v>
      </c>
    </row>
    <row r="32" spans="3:3" x14ac:dyDescent="0.3">
      <c r="C32" s="42" t="s">
        <v>89</v>
      </c>
    </row>
    <row r="33" spans="3:3" x14ac:dyDescent="0.3">
      <c r="C33" t="s">
        <v>90</v>
      </c>
    </row>
    <row r="34" spans="3:3" x14ac:dyDescent="0.3">
      <c r="C34" s="42" t="s">
        <v>91</v>
      </c>
    </row>
    <row r="35" spans="3:3" x14ac:dyDescent="0.3">
      <c r="C35" t="s">
        <v>92</v>
      </c>
    </row>
    <row r="36" spans="3:3" x14ac:dyDescent="0.3">
      <c r="C36" s="42" t="s">
        <v>93</v>
      </c>
    </row>
    <row r="37" spans="3:3" x14ac:dyDescent="0.3">
      <c r="C37" t="s">
        <v>94</v>
      </c>
    </row>
    <row r="38" spans="3:3" x14ac:dyDescent="0.3">
      <c r="C38" s="42" t="s">
        <v>95</v>
      </c>
    </row>
    <row r="39" spans="3:3" x14ac:dyDescent="0.3">
      <c r="C39" s="42"/>
    </row>
    <row r="40" spans="3:3" x14ac:dyDescent="0.3">
      <c r="C40" t="s">
        <v>96</v>
      </c>
    </row>
    <row r="41" spans="3:3" x14ac:dyDescent="0.3">
      <c r="C41" s="42" t="s">
        <v>97</v>
      </c>
    </row>
    <row r="42" spans="3:3" x14ac:dyDescent="0.3">
      <c r="C42" t="s">
        <v>98</v>
      </c>
    </row>
    <row r="43" spans="3:3" x14ac:dyDescent="0.3">
      <c r="C43" s="42" t="s">
        <v>99</v>
      </c>
    </row>
    <row r="44" spans="3:3" x14ac:dyDescent="0.3">
      <c r="C44" t="s">
        <v>100</v>
      </c>
    </row>
    <row r="45" spans="3:3" x14ac:dyDescent="0.3">
      <c r="C45" s="42" t="s">
        <v>101</v>
      </c>
    </row>
    <row r="46" spans="3:3" x14ac:dyDescent="0.3">
      <c r="C46" t="s">
        <v>102</v>
      </c>
    </row>
    <row r="47" spans="3:3" x14ac:dyDescent="0.3">
      <c r="C47" s="42" t="s">
        <v>103</v>
      </c>
    </row>
    <row r="48" spans="3:3" x14ac:dyDescent="0.3">
      <c r="C48" t="s">
        <v>104</v>
      </c>
    </row>
    <row r="49" spans="3:3" x14ac:dyDescent="0.3">
      <c r="C49" s="42" t="s">
        <v>105</v>
      </c>
    </row>
    <row r="50" spans="3:3" x14ac:dyDescent="0.3">
      <c r="C50" t="s">
        <v>106</v>
      </c>
    </row>
    <row r="51" spans="3:3" x14ac:dyDescent="0.3">
      <c r="C51" s="42" t="s">
        <v>107</v>
      </c>
    </row>
    <row r="52" spans="3:3" x14ac:dyDescent="0.3">
      <c r="C52" s="43" t="s">
        <v>108</v>
      </c>
    </row>
    <row r="53" spans="3:3" x14ac:dyDescent="0.3">
      <c r="C53" s="42" t="s">
        <v>109</v>
      </c>
    </row>
    <row r="54" spans="3:3" x14ac:dyDescent="0.3">
      <c r="C54" s="42"/>
    </row>
    <row r="55" spans="3:3" x14ac:dyDescent="0.3">
      <c r="C55" t="s">
        <v>110</v>
      </c>
    </row>
    <row r="56" spans="3:3" x14ac:dyDescent="0.3">
      <c r="C56" s="42" t="s">
        <v>111</v>
      </c>
    </row>
    <row r="57" spans="3:3" x14ac:dyDescent="0.3">
      <c r="C57" t="s">
        <v>112</v>
      </c>
    </row>
    <row r="58" spans="3:3" x14ac:dyDescent="0.3">
      <c r="C58" s="42" t="s">
        <v>113</v>
      </c>
    </row>
    <row r="59" spans="3:3" x14ac:dyDescent="0.3">
      <c r="C59" t="s">
        <v>114</v>
      </c>
    </row>
    <row r="60" spans="3:3" x14ac:dyDescent="0.3">
      <c r="C60" s="42" t="s">
        <v>115</v>
      </c>
    </row>
    <row r="61" spans="3:3" x14ac:dyDescent="0.3">
      <c r="C61" t="s">
        <v>116</v>
      </c>
    </row>
    <row r="62" spans="3:3" x14ac:dyDescent="0.3">
      <c r="C62" s="42" t="s">
        <v>117</v>
      </c>
    </row>
    <row r="63" spans="3:3" x14ac:dyDescent="0.3">
      <c r="C63" t="s">
        <v>118</v>
      </c>
    </row>
    <row r="64" spans="3:3" x14ac:dyDescent="0.3">
      <c r="C64" s="42" t="s">
        <v>119</v>
      </c>
    </row>
  </sheetData>
  <hyperlinks>
    <hyperlink ref="C5" r:id="rId1" xr:uid="{25C7495C-EF71-4441-B815-F42C5DAF987A}"/>
    <hyperlink ref="C7" r:id="rId2" display="https://s204.q4cdn.com/178752512/files/doc_financials/2023/ar/CLX-FY23-Annual-Report_full-report.pdf" xr:uid="{AEE18A65-5A2A-486B-BC3F-D39C7D906838}"/>
    <hyperlink ref="C9" r:id="rId3" xr:uid="{C3152330-DE8C-40AD-A4EA-A0C507D38E37}"/>
    <hyperlink ref="C11" r:id="rId4" xr:uid="{F20E2DA7-DD52-4CE0-AACB-94F917C34787}"/>
    <hyperlink ref="C13" r:id="rId5" xr:uid="{0A0D93E1-025A-41AB-B347-3C2D0C80FA60}"/>
    <hyperlink ref="C16" r:id="rId6" xr:uid="{E7FB255A-384D-4A69-B520-D1C457B3FDD1}"/>
    <hyperlink ref="C18" r:id="rId7" xr:uid="{1C5437BC-8D19-4381-9F4A-8218766383CB}"/>
    <hyperlink ref="C21" r:id="rId8" display="https://s204.q4cdn.com/332108499/files/doc_financials/2026/ar/2026_annual_report.pdf" xr:uid="{C9EAE90C-7F70-46FB-BBE7-9C848544BABA}"/>
    <hyperlink ref="C23" r:id="rId9" xr:uid="{7E4269C5-D3B5-43A2-8183-083740BC3224}"/>
    <hyperlink ref="C25" r:id="rId10" xr:uid="{9CC8485F-467F-4BB3-A433-C0AB6422D9C5}"/>
    <hyperlink ref="C27" r:id="rId11" xr:uid="{C24D0FC2-8C5D-44F3-8C64-BD35FAE2D18C}"/>
    <hyperlink ref="C30" r:id="rId12" display="https://investor.colgatepalmolive.com/static-files/4298e292-4aaf-4b10-8953-aad27c1065d7" xr:uid="{3F16072C-198B-4340-B108-294D93AB33A5}"/>
    <hyperlink ref="C32" r:id="rId13" xr:uid="{4C1565AC-5E7E-4DF4-8A28-CB75A80ABBB6}"/>
    <hyperlink ref="C34" r:id="rId14" xr:uid="{6F427180-7C2C-4843-898E-C543975EB24D}"/>
    <hyperlink ref="C36" r:id="rId15" xr:uid="{CE25B6F4-33A6-4D63-AEFB-2FE82F7B6650}"/>
    <hyperlink ref="C38" r:id="rId16" xr:uid="{FAD4D10E-3B87-4DB9-ACE4-1FB106AC4251}"/>
    <hyperlink ref="C41" r:id="rId17" display="https://www.kimberly-clark.com/-/media/feature/kcc/corporate/pdf/annual-report/0001628280-26-007567.pdf?rev=-1&amp;hash=DC966D32B7DD0448D94871869442B002" xr:uid="{70461BB4-08A9-4FBD-8A2A-1509C341BB4D}"/>
    <hyperlink ref="C43" r:id="rId18" xr:uid="{596B016F-E5FB-48F4-95F3-B58500113080}"/>
    <hyperlink ref="C45" r:id="rId19" xr:uid="{857725EA-7DA5-4682-9183-8992E4B99839}"/>
    <hyperlink ref="C47" r:id="rId20" xr:uid="{64F2F568-C235-4103-806E-8A94A49BD9C5}"/>
    <hyperlink ref="C49" r:id="rId21" xr:uid="{6E18D8E9-6381-4940-8C79-26C6774E3FE7}"/>
    <hyperlink ref="C51" r:id="rId22" xr:uid="{0B8498E1-9F85-4D6A-8364-8F82680F7D15}"/>
    <hyperlink ref="C56" r:id="rId23" xr:uid="{3F09CBDD-2593-46AA-AD2D-732749093E74}"/>
    <hyperlink ref="C58" r:id="rId24" xr:uid="{75F9A43D-D4B0-4BC1-A3A4-E0778CCE870A}"/>
    <hyperlink ref="C60" r:id="rId25" xr:uid="{9821C035-3FB8-45C0-A9E1-8339D3370C13}"/>
    <hyperlink ref="C62" r:id="rId26" xr:uid="{584DB0A9-819F-4A7A-97D2-79EA83A2EB5E}"/>
    <hyperlink ref="C64" r:id="rId27" xr:uid="{364760E0-B2D3-4EE1-A4BA-C9B4AB036C6A}"/>
  </hyperlink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0B01-CC60-495F-A566-26510D031B4E}">
  <dimension ref="A1:N7"/>
  <sheetViews>
    <sheetView workbookViewId="0">
      <selection activeCell="E16" sqref="E16"/>
    </sheetView>
  </sheetViews>
  <sheetFormatPr defaultRowHeight="14.4" x14ac:dyDescent="0.3"/>
  <cols>
    <col min="1" max="1" width="16" bestFit="1" customWidth="1"/>
    <col min="2" max="2" width="15.44140625" bestFit="1" customWidth="1"/>
    <col min="3" max="3" width="12.5546875" bestFit="1" customWidth="1"/>
    <col min="4" max="4" width="12" bestFit="1" customWidth="1"/>
    <col min="5" max="5" width="16.33203125" bestFit="1" customWidth="1"/>
    <col min="6" max="6" width="11" bestFit="1" customWidth="1"/>
    <col min="7" max="7" width="12" bestFit="1" customWidth="1"/>
    <col min="8" max="8" width="12" customWidth="1"/>
    <col min="9" max="9" width="13.5546875" bestFit="1" customWidth="1"/>
    <col min="10" max="10" width="21.5546875" bestFit="1" customWidth="1"/>
    <col min="11" max="11" width="16" bestFit="1" customWidth="1"/>
    <col min="12" max="12" width="17" bestFit="1" customWidth="1"/>
    <col min="13" max="13" width="13.5546875" bestFit="1" customWidth="1"/>
    <col min="14" max="14" width="12.109375" bestFit="1" customWidth="1"/>
  </cols>
  <sheetData>
    <row r="1" spans="1:14" s="4" customFormat="1" x14ac:dyDescent="0.3">
      <c r="A1" s="4" t="s">
        <v>58</v>
      </c>
      <c r="B1" s="14" t="s">
        <v>46</v>
      </c>
      <c r="C1" s="14" t="s">
        <v>47</v>
      </c>
      <c r="D1" s="14" t="s">
        <v>41</v>
      </c>
      <c r="E1" s="14" t="s">
        <v>48</v>
      </c>
      <c r="F1" s="14" t="s">
        <v>49</v>
      </c>
      <c r="G1" s="14" t="s">
        <v>45</v>
      </c>
      <c r="H1" s="14" t="s">
        <v>44</v>
      </c>
      <c r="I1" s="14" t="s">
        <v>52</v>
      </c>
      <c r="J1" s="14" t="s">
        <v>53</v>
      </c>
      <c r="K1" s="14" t="s">
        <v>54</v>
      </c>
      <c r="L1" s="14" t="s">
        <v>50</v>
      </c>
      <c r="M1" s="14" t="s">
        <v>35</v>
      </c>
      <c r="N1" s="14" t="s">
        <v>36</v>
      </c>
    </row>
    <row r="2" spans="1:14" x14ac:dyDescent="0.3">
      <c r="A2" t="s">
        <v>57</v>
      </c>
      <c r="B2" s="36">
        <v>17.920997920997923</v>
      </c>
      <c r="C2" s="36">
        <v>41.654761904761905</v>
      </c>
      <c r="D2" s="36">
        <v>13.994736842105263</v>
      </c>
      <c r="E2" s="37">
        <v>0.13586309523809523</v>
      </c>
      <c r="F2" s="37">
        <v>8.7351190476190471E-2</v>
      </c>
      <c r="G2" s="37">
        <v>7.5314344367462149E-2</v>
      </c>
      <c r="H2" s="37">
        <v>2.3293650793650795</v>
      </c>
      <c r="I2" s="37">
        <v>-1.3900498161393826E-2</v>
      </c>
      <c r="J2" s="37">
        <v>5.0394353600168973E-2</v>
      </c>
      <c r="K2" s="37">
        <v>6.1693189374749213E-2</v>
      </c>
      <c r="L2" s="37">
        <v>0.58850264916558759</v>
      </c>
      <c r="M2" s="36">
        <v>22.222222222222221</v>
      </c>
      <c r="N2" s="36">
        <v>2.5535714285714287E-2</v>
      </c>
    </row>
    <row r="3" spans="1:14" x14ac:dyDescent="0.3">
      <c r="A3" t="s">
        <v>4</v>
      </c>
      <c r="B3" s="36">
        <v>23.728096676737163</v>
      </c>
      <c r="C3" s="36">
        <v>6.8780909944578443</v>
      </c>
      <c r="D3" s="36">
        <v>16.106505050505049</v>
      </c>
      <c r="E3" s="37">
        <v>0.22690504641970768</v>
      </c>
      <c r="F3" s="37">
        <v>0.18436896773600514</v>
      </c>
      <c r="G3" s="37">
        <v>0.12682479588368728</v>
      </c>
      <c r="H3" s="37">
        <v>0.29544659461250944</v>
      </c>
      <c r="I3" s="37">
        <v>2.0689740597511719E-2</v>
      </c>
      <c r="J3" s="37">
        <v>2.6116125555549097E-2</v>
      </c>
      <c r="K3" s="37">
        <v>2.1415855733719846E-2</v>
      </c>
      <c r="L3" s="37">
        <v>3.9127071473470387E-2</v>
      </c>
      <c r="M3" s="36">
        <v>0.64480491981366572</v>
      </c>
      <c r="N3" s="36">
        <v>0.28383780696744715</v>
      </c>
    </row>
    <row r="4" spans="1:14" x14ac:dyDescent="0.3">
      <c r="A4" t="s">
        <v>5</v>
      </c>
      <c r="B4" s="36">
        <v>36.484251968503941</v>
      </c>
      <c r="C4" s="36">
        <v>130.8833922261484</v>
      </c>
      <c r="D4" s="36">
        <v>16.162650602409638</v>
      </c>
      <c r="E4" s="37">
        <v>0.14871478120397205</v>
      </c>
      <c r="F4" s="37">
        <v>9.6830902266356253E-2</v>
      </c>
      <c r="G4" s="37">
        <v>0.12138177486599167</v>
      </c>
      <c r="H4" s="37">
        <v>3.6007067137809186</v>
      </c>
      <c r="I4" s="37">
        <v>4.0348052001791368E-2</v>
      </c>
      <c r="J4" s="37">
        <v>1.9879766777048058E-2</v>
      </c>
      <c r="K4" s="37">
        <v>3.3692796479837916E-2</v>
      </c>
      <c r="L4" s="37">
        <v>-2.848096122266186E-2</v>
      </c>
      <c r="M4" s="36">
        <v>4.194236926360726</v>
      </c>
      <c r="N4" s="36">
        <v>0.18447837150127228</v>
      </c>
    </row>
    <row r="5" spans="1:14" x14ac:dyDescent="0.3">
      <c r="A5" t="s">
        <v>59</v>
      </c>
      <c r="B5" s="36">
        <v>17.729131175468481</v>
      </c>
      <c r="C5" s="36">
        <v>18.422091782283886</v>
      </c>
      <c r="D5" s="36">
        <v>11.525</v>
      </c>
      <c r="E5" s="37">
        <v>0.15162846803377564</v>
      </c>
      <c r="F5" s="37">
        <v>0.11791314837153197</v>
      </c>
      <c r="G5" s="37">
        <v>0.10536811469224965</v>
      </c>
      <c r="H5" s="37">
        <v>1.0432230522945571</v>
      </c>
      <c r="I5" s="37">
        <v>2.7326807029341982E-3</v>
      </c>
      <c r="J5" s="37">
        <v>3.3916933187891019E-2</v>
      </c>
      <c r="K5" s="37">
        <v>2.7035972466620262E-3</v>
      </c>
      <c r="L5" s="37">
        <v>4.0559198337166924E-2</v>
      </c>
      <c r="M5" s="36">
        <v>3.4898612593383138</v>
      </c>
      <c r="N5" s="36">
        <v>0.14617737003058104</v>
      </c>
    </row>
    <row r="6" spans="1:14" x14ac:dyDescent="0.3">
      <c r="A6" t="s">
        <v>7</v>
      </c>
      <c r="B6" s="36">
        <v>33.03846153846154</v>
      </c>
      <c r="C6" s="36">
        <v>5.6118036708220247</v>
      </c>
      <c r="D6" s="36">
        <v>19.684592592592594</v>
      </c>
      <c r="E6" s="37">
        <v>0.17466407667239248</v>
      </c>
      <c r="F6" s="37">
        <v>0.11956783483970396</v>
      </c>
      <c r="G6" s="37">
        <v>8.1794919665703889E-2</v>
      </c>
      <c r="H6" s="37">
        <v>0.17130502783016696</v>
      </c>
      <c r="I6" s="37">
        <v>3.7527434950005212E-2</v>
      </c>
      <c r="J6" s="37">
        <v>0.16149741120892536</v>
      </c>
      <c r="K6" s="37">
        <v>0.15820666660968863</v>
      </c>
      <c r="L6" s="37">
        <v>7.5924815563626069E-3</v>
      </c>
      <c r="M6" s="36">
        <v>0.55890335342012054</v>
      </c>
      <c r="N6" s="36">
        <v>0.10485596707818931</v>
      </c>
    </row>
    <row r="7" spans="1:14" x14ac:dyDescent="0.3">
      <c r="A7" t="s">
        <v>60</v>
      </c>
      <c r="B7" s="36">
        <f t="shared" ref="B7:N7" si="0">MEDIAN(B3:B6)</f>
        <v>28.38327910759935</v>
      </c>
      <c r="C7" s="36">
        <f t="shared" si="0"/>
        <v>12.650091388370864</v>
      </c>
      <c r="D7" s="36">
        <f t="shared" si="0"/>
        <v>16.134577826457345</v>
      </c>
      <c r="E7" s="37">
        <f t="shared" si="0"/>
        <v>0.16314627235308404</v>
      </c>
      <c r="F7" s="37">
        <f t="shared" si="0"/>
        <v>0.11874049160561796</v>
      </c>
      <c r="G7" s="37">
        <f t="shared" si="0"/>
        <v>0.11337494477912066</v>
      </c>
      <c r="H7" s="37">
        <f t="shared" si="0"/>
        <v>0.66933482345353323</v>
      </c>
      <c r="I7" s="37">
        <f t="shared" si="0"/>
        <v>2.9108587773758465E-2</v>
      </c>
      <c r="J7" s="37">
        <f t="shared" si="0"/>
        <v>3.0016529371720058E-2</v>
      </c>
      <c r="K7" s="37">
        <f t="shared" si="0"/>
        <v>2.7554326106778881E-2</v>
      </c>
      <c r="L7" s="37">
        <f t="shared" si="0"/>
        <v>2.3359776514916497E-2</v>
      </c>
      <c r="M7" s="36">
        <f t="shared" si="0"/>
        <v>2.0673330895759898</v>
      </c>
      <c r="N7" s="36">
        <f t="shared" si="0"/>
        <v>0.16532787076592664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C035-9113-4D18-BB62-D941840F63DE}">
  <dimension ref="A1:G7"/>
  <sheetViews>
    <sheetView workbookViewId="0">
      <selection activeCell="G19" sqref="G19"/>
    </sheetView>
  </sheetViews>
  <sheetFormatPr defaultRowHeight="14.4" x14ac:dyDescent="0.3"/>
  <cols>
    <col min="1" max="1" width="16" bestFit="1" customWidth="1"/>
    <col min="2" max="2" width="16.77734375" bestFit="1" customWidth="1"/>
    <col min="3" max="3" width="17.21875" bestFit="1" customWidth="1"/>
    <col min="4" max="4" width="18.6640625" bestFit="1" customWidth="1"/>
    <col min="5" max="5" width="14.44140625" bestFit="1" customWidth="1"/>
    <col min="6" max="6" width="9.6640625" bestFit="1" customWidth="1"/>
    <col min="7" max="7" width="12.21875" bestFit="1" customWidth="1"/>
  </cols>
  <sheetData>
    <row r="1" spans="1:7" x14ac:dyDescent="0.3">
      <c r="A1" s="4" t="s">
        <v>56</v>
      </c>
      <c r="B1" s="14" t="s">
        <v>2</v>
      </c>
      <c r="C1" s="14" t="s">
        <v>0</v>
      </c>
      <c r="D1" s="14" t="s">
        <v>1</v>
      </c>
      <c r="E1" s="14" t="s">
        <v>8</v>
      </c>
      <c r="F1" s="14" t="s">
        <v>9</v>
      </c>
      <c r="G1" s="14" t="s">
        <v>10</v>
      </c>
    </row>
    <row r="2" spans="1:7" x14ac:dyDescent="0.3">
      <c r="A2" t="s">
        <v>57</v>
      </c>
      <c r="B2" s="5">
        <v>86.2</v>
      </c>
      <c r="C2" s="6">
        <v>121775000</v>
      </c>
      <c r="D2" s="10">
        <f>ROUND(C2*B2/1000000,0)</f>
        <v>10497</v>
      </c>
      <c r="E2" s="10">
        <v>5600</v>
      </c>
      <c r="F2" s="10">
        <v>143</v>
      </c>
      <c r="G2" s="10">
        <v>1140</v>
      </c>
    </row>
    <row r="3" spans="1:7" x14ac:dyDescent="0.3">
      <c r="A3" t="s">
        <v>4</v>
      </c>
      <c r="B3" s="9">
        <v>157.08000000000001</v>
      </c>
      <c r="C3" s="6">
        <v>2378125000</v>
      </c>
      <c r="D3" s="10">
        <f>ROUND(B3*C3/1000000,0)</f>
        <v>373556</v>
      </c>
      <c r="E3" s="10">
        <v>35020</v>
      </c>
      <c r="F3" s="10">
        <v>9940</v>
      </c>
      <c r="G3" s="10">
        <v>24750</v>
      </c>
    </row>
    <row r="4" spans="1:7" x14ac:dyDescent="0.3">
      <c r="A4" t="s">
        <v>5</v>
      </c>
      <c r="B4" s="9">
        <v>92.67</v>
      </c>
      <c r="C4" s="6">
        <v>799400000</v>
      </c>
      <c r="D4" s="10">
        <f>ROUND(B4*C4/1000000,0)</f>
        <v>74080</v>
      </c>
      <c r="E4" s="10">
        <v>7860</v>
      </c>
      <c r="F4" s="10">
        <v>1450</v>
      </c>
      <c r="G4" s="10">
        <v>4980</v>
      </c>
    </row>
    <row r="5" spans="1:7" x14ac:dyDescent="0.3">
      <c r="A5" t="s">
        <v>59</v>
      </c>
      <c r="B5" s="9">
        <v>104.07</v>
      </c>
      <c r="C5" s="6">
        <v>331730769</v>
      </c>
      <c r="D5" s="10">
        <f>ROUND(B5*C5/1000000,0)</f>
        <v>34523</v>
      </c>
      <c r="E5" s="10">
        <v>6540</v>
      </c>
      <c r="F5" s="10">
        <v>956</v>
      </c>
      <c r="G5" s="10">
        <v>3480</v>
      </c>
    </row>
    <row r="6" spans="1:7" x14ac:dyDescent="0.3">
      <c r="A6" t="s">
        <v>7</v>
      </c>
      <c r="B6" s="9">
        <v>103.08</v>
      </c>
      <c r="C6" s="6">
        <v>236700000</v>
      </c>
      <c r="D6" s="10">
        <f>ROUND(B6*C6/1000000,0)</f>
        <v>24399</v>
      </c>
      <c r="E6" s="10">
        <v>2430</v>
      </c>
      <c r="F6" s="11">
        <v>254.8</v>
      </c>
      <c r="G6" s="10">
        <v>1350</v>
      </c>
    </row>
    <row r="7" spans="1:7" x14ac:dyDescent="0.3">
      <c r="A7" t="s">
        <v>60</v>
      </c>
      <c r="B7" s="9">
        <f>MEDIAN(B3:B6)</f>
        <v>103.57499999999999</v>
      </c>
      <c r="C7" s="6">
        <f>MEDIAN(C3:C6)</f>
        <v>565565384.5</v>
      </c>
      <c r="D7" s="10">
        <f>MEDIAN(D3:D6)</f>
        <v>54301.5</v>
      </c>
      <c r="E7" s="10">
        <f>MEDIAN(E3:E6)</f>
        <v>7200</v>
      </c>
      <c r="F7" s="10">
        <f>MEDIAN(F3:F6)</f>
        <v>1203</v>
      </c>
      <c r="G7" s="10">
        <f>MEDIAN(G3:G6)</f>
        <v>4230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Raw_Financial</vt:lpstr>
      <vt:lpstr>Market Data </vt:lpstr>
      <vt:lpstr>Calculations </vt:lpstr>
      <vt:lpstr>Peer Comparison</vt:lpstr>
      <vt:lpstr>Sources</vt:lpstr>
      <vt:lpstr>Tidy Calculations</vt:lpstr>
      <vt:lpstr>Tidy Market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2026-10-23T16:30:54Z</dcterms:modified>
</cp:coreProperties>
</file>