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ortfolio Project 3\"/>
    </mc:Choice>
  </mc:AlternateContent>
  <xr:revisionPtr revIDLastSave="0" documentId="13_ncr:1_{70DD2B0D-97A1-4B6D-AD12-978AB51C53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culations 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8" i="2" l="1"/>
  <c r="D129" i="2" s="1"/>
  <c r="D127" i="2"/>
  <c r="D126" i="2"/>
  <c r="D123" i="2"/>
  <c r="D122" i="2"/>
  <c r="D119" i="2"/>
  <c r="D118" i="2"/>
  <c r="D117" i="2"/>
  <c r="D116" i="2"/>
  <c r="D113" i="2"/>
  <c r="D112" i="2"/>
  <c r="D111" i="2"/>
  <c r="D110" i="2"/>
  <c r="D109" i="2"/>
  <c r="D103" i="2"/>
  <c r="D102" i="2"/>
  <c r="D101" i="2"/>
  <c r="D100" i="2"/>
  <c r="D97" i="2"/>
  <c r="D96" i="2"/>
  <c r="D93" i="2"/>
  <c r="D92" i="2"/>
  <c r="D91" i="2"/>
  <c r="D90" i="2"/>
  <c r="D87" i="2"/>
  <c r="D86" i="2"/>
  <c r="D85" i="2"/>
  <c r="D84" i="2"/>
  <c r="D83" i="2"/>
  <c r="D76" i="2"/>
  <c r="D77" i="2" s="1"/>
  <c r="D75" i="2"/>
  <c r="D74" i="2"/>
  <c r="D71" i="2"/>
  <c r="D70" i="2"/>
  <c r="D67" i="2"/>
  <c r="D66" i="2"/>
  <c r="D65" i="2"/>
  <c r="D64" i="2"/>
  <c r="D61" i="2"/>
  <c r="D60" i="2"/>
  <c r="D59" i="2"/>
  <c r="D58" i="2"/>
  <c r="D57" i="2"/>
  <c r="D51" i="2"/>
  <c r="D50" i="2"/>
  <c r="D49" i="2"/>
  <c r="D48" i="2"/>
  <c r="D45" i="2"/>
  <c r="D44" i="2"/>
  <c r="D41" i="2"/>
  <c r="D40" i="2"/>
  <c r="D39" i="2"/>
  <c r="D38" i="2"/>
  <c r="D35" i="2"/>
  <c r="D34" i="2"/>
  <c r="D33" i="2"/>
  <c r="D32" i="2"/>
  <c r="D31" i="2"/>
  <c r="D24" i="2"/>
  <c r="D25" i="2" s="1"/>
  <c r="D23" i="2"/>
  <c r="D22" i="2"/>
  <c r="D19" i="2"/>
  <c r="D18" i="2"/>
  <c r="D15" i="2"/>
  <c r="D14" i="2"/>
  <c r="D13" i="2"/>
  <c r="D12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<sst xmlns="http://schemas.openxmlformats.org/spreadsheetml/2006/main" count="99" uniqueCount="23">
  <si>
    <t xml:space="preserve">PROFITABLITY </t>
  </si>
  <si>
    <t xml:space="preserve">Gross Margin </t>
  </si>
  <si>
    <t xml:space="preserve">Operational Margin </t>
  </si>
  <si>
    <t>Net Margin</t>
  </si>
  <si>
    <t>ROA</t>
  </si>
  <si>
    <t>ROE</t>
  </si>
  <si>
    <t>GROWTH</t>
  </si>
  <si>
    <t>Revenue CAGR</t>
  </si>
  <si>
    <t>Operating Income CAGR</t>
  </si>
  <si>
    <t>Net Income CAGR</t>
  </si>
  <si>
    <t xml:space="preserve">EPS CAGR (3 years) </t>
  </si>
  <si>
    <t xml:space="preserve">FINANCIAL HEALTH </t>
  </si>
  <si>
    <t>Debt-to-Equity</t>
  </si>
  <si>
    <t>Cash-to-Debt</t>
  </si>
  <si>
    <t>VALUATION</t>
  </si>
  <si>
    <t>P/E</t>
  </si>
  <si>
    <t>P/B</t>
  </si>
  <si>
    <t xml:space="preserve">EV </t>
  </si>
  <si>
    <t>EV/EBITDA</t>
  </si>
  <si>
    <t>Procter &amp; Gamble</t>
  </si>
  <si>
    <t>Colgate-Palmolive</t>
  </si>
  <si>
    <t>Kimberly-Clark</t>
  </si>
  <si>
    <t>Church &amp; Dwight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</si>
</sst>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&quot;x&quot;"/>
    <numFmt numFmtId="165" formatCode="0.000&quot;x&quot;"/>
    <numFmt numFmtId="166" formatCode="#,##0.00&quot;x&quot;"/>
    <numFmt numFmtId="167" formatCode="&quot;$&quot;#,##0&quot;M&quot;"/>
    <numFmt numFmtId="168" formatCode="&quot;$&quot;#,##0.0&quot;M&quot;"/>
    <numFmt numFmtId="169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0" borderId="0" xfId="0" applyFont="1" applyAlignment="1">
      <alignment horizontal="right"/>
    </xf>
    <xf numFmtId="10" fontId="0" fillId="2" borderId="2" xfId="0" applyNumberFormat="1" applyFill="1" applyBorder="1"/>
    <xf numFmtId="0" fontId="1" fillId="2" borderId="0" xfId="0" applyFont="1" applyFill="1" applyAlignment="1">
      <alignment horizontal="left"/>
    </xf>
    <xf numFmtId="164" fontId="0" fillId="2" borderId="2" xfId="0" applyNumberFormat="1" applyFill="1" applyBorder="1"/>
    <xf numFmtId="165" fontId="0" fillId="2" borderId="2" xfId="0" applyNumberFormat="1" applyFill="1" applyBorder="1"/>
    <xf numFmtId="166" fontId="0" fillId="2" borderId="2" xfId="0" applyNumberFormat="1" applyFill="1" applyBorder="1"/>
    <xf numFmtId="167" fontId="0" fillId="2" borderId="2" xfId="0" applyNumberFormat="1" applyFill="1" applyBorder="1"/>
    <xf numFmtId="0" fontId="2" fillId="0" borderId="1" xfId="0" applyFont="1" applyBorder="1" applyAlignment="1">
      <alignment horizontal="center" vertical="center"/>
    </xf>
    <xf numFmtId="2" fontId="0" fillId="2" borderId="2" xfId="0" applyNumberFormat="1" applyFill="1" applyBorder="1"/>
    <xf numFmtId="168" fontId="0" fillId="2" borderId="2" xfId="0" applyNumberFormat="1" applyFill="1" applyBorder="1"/>
    <xf numFmtId="169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556260</xdr:colOff>
      <xdr:row>0</xdr:row>
      <xdr:rowOff>129540</xdr:rowOff>
    </xdr:from>
    <xdr:to>
      <xdr:col>2</xdr:col>
      <xdr:colOff>1242059</xdr:colOff>
      <xdr:row>2</xdr:row>
      <xdr:rowOff>182881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135C2-2F7D-484C-8DD3-16941EF90E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53" b="35294"/>
        <a:stretch/>
      </xdr:blipFill>
      <xdr:spPr>
        <a:xfrm>
          <a:off x="1165860" y="129540"/>
          <a:ext cx="1295399" cy="419101"/>
        </a:xfrm>
        <a:prstGeom prst="rect">
          <a:avLst/>
        </a:prstGeom>
      </xdr:spPr>
    </xdr:pic>
    <xdr:clientData/>
  </xdr:twoCellAnchor>
  <xdr:twoCellAnchor editAs="oneCell">
    <xdr:from>
      <xdr:col>1</xdr:col>
      <xdr:colOff>480060</xdr:colOff>
      <xdr:row>26</xdr:row>
      <xdr:rowOff>167640</xdr:rowOff>
    </xdr:from>
    <xdr:to>
      <xdr:col>2</xdr:col>
      <xdr:colOff>381000</xdr:colOff>
      <xdr:row>29</xdr:row>
      <xdr:rowOff>51888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26DD92-ADB0-46BD-BCDD-0E076F3C4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54" t="13274" r="23893" b="15929"/>
        <a:stretch/>
      </xdr:blipFill>
      <xdr:spPr>
        <a:xfrm>
          <a:off x="1089660" y="4937760"/>
          <a:ext cx="510540" cy="486228"/>
        </a:xfrm>
        <a:prstGeom prst="rect">
          <a:avLst/>
        </a:prstGeom>
      </xdr:spPr>
    </xdr:pic>
    <xdr:clientData/>
  </xdr:twoCellAnchor>
  <xdr:twoCellAnchor editAs="oneCell">
    <xdr:from>
      <xdr:col>1</xdr:col>
      <xdr:colOff>350520</xdr:colOff>
      <xdr:row>53</xdr:row>
      <xdr:rowOff>60960</xdr:rowOff>
    </xdr:from>
    <xdr:to>
      <xdr:col>2</xdr:col>
      <xdr:colOff>472440</xdr:colOff>
      <xdr:row>55</xdr:row>
      <xdr:rowOff>53341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DDC7FC-7262-41BA-ACF1-A0CE2958D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" y="9829800"/>
          <a:ext cx="731520" cy="411481"/>
        </a:xfrm>
        <a:prstGeom prst="rect">
          <a:avLst/>
        </a:prstGeom>
      </xdr:spPr>
    </xdr:pic>
    <xdr:clientData/>
  </xdr:twoCellAnchor>
  <xdr:twoCellAnchor editAs="oneCell">
    <xdr:from>
      <xdr:col>1</xdr:col>
      <xdr:colOff>548640</xdr:colOff>
      <xdr:row>78</xdr:row>
      <xdr:rowOff>144780</xdr:rowOff>
    </xdr:from>
    <xdr:to>
      <xdr:col>2</xdr:col>
      <xdr:colOff>510540</xdr:colOff>
      <xdr:row>81</xdr:row>
      <xdr:rowOff>40521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2D3235-DB47-4E01-8B94-45F0F3602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" y="14546580"/>
          <a:ext cx="571500" cy="497721"/>
        </a:xfrm>
        <a:prstGeom prst="rect">
          <a:avLst/>
        </a:prstGeom>
      </xdr:spPr>
    </xdr:pic>
    <xdr:clientData/>
  </xdr:twoCellAnchor>
  <xdr:twoCellAnchor editAs="oneCell">
    <xdr:from>
      <xdr:col>1</xdr:col>
      <xdr:colOff>541020</xdr:colOff>
      <xdr:row>104</xdr:row>
      <xdr:rowOff>152400</xdr:rowOff>
    </xdr:from>
    <xdr:to>
      <xdr:col>2</xdr:col>
      <xdr:colOff>426719</xdr:colOff>
      <xdr:row>107</xdr:row>
      <xdr:rowOff>45719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27839C-EB2F-4655-8049-438484746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19370040"/>
          <a:ext cx="495299" cy="4952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ortfolio%20Project%203\Final%20Output.xlsx" TargetMode="External"/><Relationship Id="rId1" Type="http://schemas.openxmlformats.org/officeDocument/2006/relationships/externalLinkPath" Target="Final%20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Financial"/>
      <sheetName val="Market Data "/>
      <sheetName val="Calculations "/>
      <sheetName val="Peer Comparison"/>
      <sheetName val="Tidy Calculations"/>
      <sheetName val="Tidy Market Data"/>
    </sheetNames>
    <sheetDataSet>
      <sheetData sheetId="0">
        <row r="8">
          <cell r="D8">
            <v>6720</v>
          </cell>
          <cell r="H8">
            <v>7107</v>
          </cell>
        </row>
        <row r="9">
          <cell r="D9">
            <v>2844</v>
          </cell>
        </row>
        <row r="10">
          <cell r="D10">
            <v>913</v>
          </cell>
          <cell r="H10">
            <v>750</v>
          </cell>
        </row>
        <row r="11">
          <cell r="D11">
            <v>587</v>
          </cell>
          <cell r="H11">
            <v>462</v>
          </cell>
        </row>
        <row r="14">
          <cell r="D14">
            <v>4.8099999999999996</v>
          </cell>
          <cell r="G14">
            <v>1.2</v>
          </cell>
        </row>
        <row r="15">
          <cell r="D15">
            <v>7794</v>
          </cell>
        </row>
        <row r="16">
          <cell r="D16">
            <v>252</v>
          </cell>
        </row>
        <row r="28">
          <cell r="D28">
            <v>87032</v>
          </cell>
          <cell r="H28">
            <v>80187</v>
          </cell>
        </row>
        <row r="29">
          <cell r="D29">
            <v>43670</v>
          </cell>
        </row>
        <row r="30">
          <cell r="D30">
            <v>19748</v>
          </cell>
          <cell r="H30">
            <v>17813</v>
          </cell>
        </row>
        <row r="31">
          <cell r="D31">
            <v>16046</v>
          </cell>
          <cell r="H31">
            <v>14742</v>
          </cell>
        </row>
        <row r="33">
          <cell r="D33">
            <v>126521</v>
          </cell>
        </row>
        <row r="34">
          <cell r="D34">
            <v>54311</v>
          </cell>
        </row>
        <row r="36">
          <cell r="D36">
            <v>6.62</v>
          </cell>
          <cell r="G36">
            <v>5.9</v>
          </cell>
        </row>
        <row r="47">
          <cell r="D47">
            <v>21047</v>
          </cell>
          <cell r="H47">
            <v>17967</v>
          </cell>
        </row>
        <row r="48">
          <cell r="D48">
            <v>12450</v>
          </cell>
        </row>
        <row r="49">
          <cell r="D49">
            <v>3130</v>
          </cell>
          <cell r="H49">
            <v>2893</v>
          </cell>
        </row>
        <row r="50">
          <cell r="D50">
            <v>2038</v>
          </cell>
          <cell r="H50">
            <v>1785</v>
          </cell>
        </row>
        <row r="53">
          <cell r="D53">
            <v>2.54</v>
          </cell>
          <cell r="G53">
            <v>2.77</v>
          </cell>
        </row>
        <row r="54">
          <cell r="D54">
            <v>16790</v>
          </cell>
        </row>
        <row r="55">
          <cell r="D55">
            <v>566</v>
          </cell>
        </row>
        <row r="65">
          <cell r="D65">
            <v>16580</v>
          </cell>
          <cell r="H65">
            <v>16400</v>
          </cell>
        </row>
        <row r="66">
          <cell r="D66">
            <v>6095</v>
          </cell>
        </row>
        <row r="67">
          <cell r="D67">
            <v>2514</v>
          </cell>
          <cell r="H67">
            <v>2200</v>
          </cell>
        </row>
        <row r="68">
          <cell r="D68">
            <v>1955</v>
          </cell>
          <cell r="H68">
            <v>1934</v>
          </cell>
        </row>
        <row r="71">
          <cell r="D71">
            <v>5.87</v>
          </cell>
          <cell r="G71">
            <v>5.21</v>
          </cell>
        </row>
        <row r="72">
          <cell r="D72">
            <v>18554</v>
          </cell>
        </row>
        <row r="73">
          <cell r="D73">
            <v>1874</v>
          </cell>
        </row>
        <row r="84">
          <cell r="D84">
            <v>6229.1</v>
          </cell>
          <cell r="H84">
            <v>5375.6</v>
          </cell>
        </row>
        <row r="85">
          <cell r="D85">
            <v>2843.5</v>
          </cell>
        </row>
        <row r="86">
          <cell r="D86">
            <v>1088</v>
          </cell>
          <cell r="H86">
            <v>597.79999999999995</v>
          </cell>
        </row>
        <row r="87">
          <cell r="D87">
            <v>744.8</v>
          </cell>
          <cell r="H87">
            <v>413.9</v>
          </cell>
        </row>
        <row r="90">
          <cell r="D90">
            <v>3.12</v>
          </cell>
          <cell r="G90">
            <v>3.05</v>
          </cell>
        </row>
        <row r="91">
          <cell r="D91">
            <v>9105.7000000000007</v>
          </cell>
        </row>
        <row r="92">
          <cell r="D92">
            <v>4347.8</v>
          </cell>
        </row>
      </sheetData>
      <sheetData sheetId="1">
        <row r="6">
          <cell r="D6">
            <v>86.2</v>
          </cell>
          <cell r="H6">
            <v>157.08000000000001</v>
          </cell>
          <cell r="L6">
            <v>92.67</v>
          </cell>
        </row>
        <row r="8">
          <cell r="D8">
            <v>10497</v>
          </cell>
          <cell r="H8">
            <v>373556</v>
          </cell>
          <cell r="L8">
            <v>74080</v>
          </cell>
        </row>
        <row r="9">
          <cell r="D9">
            <v>5600</v>
          </cell>
          <cell r="H9">
            <v>35020</v>
          </cell>
          <cell r="L9">
            <v>7860</v>
          </cell>
        </row>
        <row r="10">
          <cell r="D10">
            <v>143</v>
          </cell>
          <cell r="H10">
            <v>9940</v>
          </cell>
          <cell r="L10">
            <v>1450</v>
          </cell>
        </row>
        <row r="11">
          <cell r="D11">
            <v>1140</v>
          </cell>
          <cell r="H11">
            <v>24750</v>
          </cell>
          <cell r="L11">
            <v>4980</v>
          </cell>
        </row>
        <row r="17">
          <cell r="D17">
            <v>104.07</v>
          </cell>
          <cell r="H17">
            <v>103.08</v>
          </cell>
        </row>
        <row r="19">
          <cell r="D19">
            <v>34523</v>
          </cell>
          <cell r="H19">
            <v>24399</v>
          </cell>
        </row>
        <row r="20">
          <cell r="D20">
            <v>6540</v>
          </cell>
          <cell r="H20">
            <v>2430</v>
          </cell>
        </row>
        <row r="21">
          <cell r="D21">
            <v>956</v>
          </cell>
          <cell r="H21">
            <v>254.8</v>
          </cell>
        </row>
        <row r="22">
          <cell r="D22">
            <v>3480</v>
          </cell>
          <cell r="H22">
            <v>1350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5AAE-882F-4D63-8691-897F707E368C}">
  <dimension ref="C3:D129"/>
  <sheetViews>
    <sheetView showGridLines="0" tabSelected="1" workbookViewId="0">
      <selection activeCell="D122" sqref="D122:D123"/>
    </sheetView>
  </sheetViews>
  <sheetFormatPr defaultRowHeight="14.4" x14ac:dyDescent="0.3"/>
  <cols>
    <col min="3" max="3" width="29.77734375" customWidth="1"/>
    <col min="4" max="4" width="11.6640625" bestFit="1" customWidth="1"/>
  </cols>
  <sheetData>
    <row r="3" spans="3:4" ht="15" thickBot="1" x14ac:dyDescent="0.35">
      <c r="C3" s="1"/>
      <c r="D3" s="1"/>
    </row>
    <row r="4" spans="3:4" ht="15" thickTop="1" x14ac:dyDescent="0.3">
      <c r="C4" s="2" t="s">
        <v>0</v>
      </c>
    </row>
    <row r="5" spans="3:4" x14ac:dyDescent="0.3">
      <c r="C5" s="3" t="s">
        <v>1</v>
      </c>
      <c r="D5" s="4">
        <f>[1]Raw_Financial!D9/[1]Raw_Financial!D8</f>
        <v>0.42321428571428571</v>
      </c>
    </row>
    <row r="6" spans="3:4" x14ac:dyDescent="0.3">
      <c r="C6" s="3" t="s">
        <v>2</v>
      </c>
      <c r="D6" s="4">
        <f>[1]Raw_Financial!D10/[1]Raw_Financial!D8</f>
        <v>0.13586309523809523</v>
      </c>
    </row>
    <row r="7" spans="3:4" x14ac:dyDescent="0.3">
      <c r="C7" s="3" t="s">
        <v>3</v>
      </c>
      <c r="D7" s="4">
        <f>[1]Raw_Financial!D11/[1]Raw_Financial!D8</f>
        <v>8.7351190476190471E-2</v>
      </c>
    </row>
    <row r="8" spans="3:4" x14ac:dyDescent="0.3">
      <c r="C8" s="3" t="s">
        <v>4</v>
      </c>
      <c r="D8" s="4">
        <f>[1]Raw_Financial!D11/[1]Raw_Financial!D15</f>
        <v>7.5314344367462149E-2</v>
      </c>
    </row>
    <row r="9" spans="3:4" x14ac:dyDescent="0.3">
      <c r="C9" s="3" t="s">
        <v>5</v>
      </c>
      <c r="D9" s="4">
        <f>[1]Raw_Financial!D11/[1]Raw_Financial!D16</f>
        <v>2.3293650793650795</v>
      </c>
    </row>
    <row r="11" spans="3:4" x14ac:dyDescent="0.3">
      <c r="C11" s="2" t="s">
        <v>6</v>
      </c>
    </row>
    <row r="12" spans="3:4" x14ac:dyDescent="0.3">
      <c r="C12" s="3" t="s">
        <v>7</v>
      </c>
      <c r="D12" s="4">
        <f>([1]Raw_Financial!D8/[1]Raw_Financial!H8)^(1/4)-1</f>
        <v>-1.3900498161393826E-2</v>
      </c>
    </row>
    <row r="13" spans="3:4" x14ac:dyDescent="0.3">
      <c r="C13" s="3" t="s">
        <v>8</v>
      </c>
      <c r="D13" s="4">
        <f>([1]Raw_Financial!$D$10/[1]Raw_Financial!$H$10)^(1/4)-1</f>
        <v>5.0394353600168973E-2</v>
      </c>
    </row>
    <row r="14" spans="3:4" x14ac:dyDescent="0.3">
      <c r="C14" s="3" t="s">
        <v>9</v>
      </c>
      <c r="D14" s="4">
        <f>([1]Raw_Financial!$D$11/[1]Raw_Financial!$H$11)^(1/4)-1</f>
        <v>6.1693189374749213E-2</v>
      </c>
    </row>
    <row r="15" spans="3:4" x14ac:dyDescent="0.3">
      <c r="C15" s="3" t="s">
        <v>10</v>
      </c>
      <c r="D15" s="4">
        <f>([1]Raw_Financial!D14/[1]Raw_Financial!G14)^(1/3)-1</f>
        <v>0.58850264916558759</v>
      </c>
    </row>
    <row r="17" spans="3:4" x14ac:dyDescent="0.3">
      <c r="C17" s="5" t="s">
        <v>11</v>
      </c>
    </row>
    <row r="18" spans="3:4" x14ac:dyDescent="0.3">
      <c r="C18" s="3" t="s">
        <v>12</v>
      </c>
      <c r="D18" s="6">
        <f>'[1]Market Data '!D9/[1]Raw_Financial!D16</f>
        <v>22.222222222222221</v>
      </c>
    </row>
    <row r="19" spans="3:4" x14ac:dyDescent="0.3">
      <c r="C19" s="3" t="s">
        <v>13</v>
      </c>
      <c r="D19" s="7">
        <f>'[1]Market Data '!D10/'[1]Market Data '!D9</f>
        <v>2.5535714285714287E-2</v>
      </c>
    </row>
    <row r="21" spans="3:4" x14ac:dyDescent="0.3">
      <c r="C21" s="2" t="s">
        <v>14</v>
      </c>
    </row>
    <row r="22" spans="3:4" x14ac:dyDescent="0.3">
      <c r="C22" s="3" t="s">
        <v>15</v>
      </c>
      <c r="D22" s="8">
        <f>'[1]Market Data '!D6/[1]Raw_Financial!D14</f>
        <v>17.920997920997923</v>
      </c>
    </row>
    <row r="23" spans="3:4" x14ac:dyDescent="0.3">
      <c r="C23" s="3" t="s">
        <v>16</v>
      </c>
      <c r="D23" s="6">
        <f>'[1]Market Data '!D8/[1]Raw_Financial!D16</f>
        <v>41.654761904761905</v>
      </c>
    </row>
    <row r="24" spans="3:4" x14ac:dyDescent="0.3">
      <c r="C24" s="3" t="s">
        <v>17</v>
      </c>
      <c r="D24" s="9">
        <f>'[1]Market Data '!D8+'[1]Market Data '!D9-'[1]Market Data '!D10</f>
        <v>15954</v>
      </c>
    </row>
    <row r="25" spans="3:4" x14ac:dyDescent="0.3">
      <c r="C25" s="3" t="s">
        <v>18</v>
      </c>
      <c r="D25" s="6">
        <f>D24/'[1]Market Data '!D11</f>
        <v>13.994736842105263</v>
      </c>
    </row>
    <row r="29" spans="3:4" ht="18.600000000000001" thickBot="1" x14ac:dyDescent="0.35">
      <c r="C29" s="10" t="s">
        <v>19</v>
      </c>
      <c r="D29" s="1"/>
    </row>
    <row r="30" spans="3:4" ht="15" thickTop="1" x14ac:dyDescent="0.3">
      <c r="C30" s="2" t="s">
        <v>0</v>
      </c>
    </row>
    <row r="31" spans="3:4" x14ac:dyDescent="0.3">
      <c r="C31" s="3" t="s">
        <v>1</v>
      </c>
      <c r="D31" s="4">
        <f>[1]Raw_Financial!D29/[1]Raw_Financial!D28</f>
        <v>0.50176946410515677</v>
      </c>
    </row>
    <row r="32" spans="3:4" x14ac:dyDescent="0.3">
      <c r="C32" s="3" t="s">
        <v>2</v>
      </c>
      <c r="D32" s="4">
        <f>[1]Raw_Financial!D30/[1]Raw_Financial!D28</f>
        <v>0.22690504641970768</v>
      </c>
    </row>
    <row r="33" spans="3:4" x14ac:dyDescent="0.3">
      <c r="C33" s="3" t="s">
        <v>3</v>
      </c>
      <c r="D33" s="4">
        <f>[1]Raw_Financial!D31/[1]Raw_Financial!D28</f>
        <v>0.18436896773600514</v>
      </c>
    </row>
    <row r="34" spans="3:4" x14ac:dyDescent="0.3">
      <c r="C34" s="3" t="s">
        <v>4</v>
      </c>
      <c r="D34" s="4">
        <f>[1]Raw_Financial!D31/[1]Raw_Financial!D33</f>
        <v>0.12682479588368728</v>
      </c>
    </row>
    <row r="35" spans="3:4" x14ac:dyDescent="0.3">
      <c r="C35" s="3" t="s">
        <v>5</v>
      </c>
      <c r="D35" s="4">
        <f>[1]Raw_Financial!D31/[1]Raw_Financial!D34</f>
        <v>0.29544659461250944</v>
      </c>
    </row>
    <row r="37" spans="3:4" x14ac:dyDescent="0.3">
      <c r="C37" s="2" t="s">
        <v>6</v>
      </c>
    </row>
    <row r="38" spans="3:4" x14ac:dyDescent="0.3">
      <c r="C38" s="3" t="s">
        <v>7</v>
      </c>
      <c r="D38" s="4">
        <f>([1]Raw_Financial!D28/[1]Raw_Financial!H28)^(1/4)-1</f>
        <v>2.0689740597511719E-2</v>
      </c>
    </row>
    <row r="39" spans="3:4" x14ac:dyDescent="0.3">
      <c r="C39" s="3" t="s">
        <v>8</v>
      </c>
      <c r="D39" s="4">
        <f>([1]Raw_Financial!$D$30/[1]Raw_Financial!$H$30)^(1/4)-1</f>
        <v>2.6116125555549097E-2</v>
      </c>
    </row>
    <row r="40" spans="3:4" x14ac:dyDescent="0.3">
      <c r="C40" s="3" t="s">
        <v>9</v>
      </c>
      <c r="D40" s="4">
        <f>([1]Raw_Financial!$D$31/[1]Raw_Financial!$H$31)^(1/4)-1</f>
        <v>2.1415855733719846E-2</v>
      </c>
    </row>
    <row r="41" spans="3:4" x14ac:dyDescent="0.3">
      <c r="C41" s="3" t="s">
        <v>10</v>
      </c>
      <c r="D41" s="4">
        <f>([1]Raw_Financial!D36/[1]Raw_Financial!G36)^(1/3)-1</f>
        <v>3.9127071473470387E-2</v>
      </c>
    </row>
    <row r="43" spans="3:4" x14ac:dyDescent="0.3">
      <c r="C43" s="5" t="s">
        <v>11</v>
      </c>
    </row>
    <row r="44" spans="3:4" x14ac:dyDescent="0.3">
      <c r="C44" s="3" t="s">
        <v>12</v>
      </c>
      <c r="D44" s="6">
        <f>'[1]Market Data '!H9/[1]Raw_Financial!D34</f>
        <v>0.64480491981366572</v>
      </c>
    </row>
    <row r="45" spans="3:4" x14ac:dyDescent="0.3">
      <c r="C45" s="3" t="s">
        <v>13</v>
      </c>
      <c r="D45" s="6">
        <f>'[1]Market Data '!H10/'[1]Market Data '!H9</f>
        <v>0.28383780696744715</v>
      </c>
    </row>
    <row r="47" spans="3:4" x14ac:dyDescent="0.3">
      <c r="C47" s="2" t="s">
        <v>14</v>
      </c>
    </row>
    <row r="48" spans="3:4" x14ac:dyDescent="0.3">
      <c r="C48" s="3" t="s">
        <v>15</v>
      </c>
      <c r="D48" s="11">
        <f>'[1]Market Data '!H6/[1]Raw_Financial!D36</f>
        <v>23.728096676737163</v>
      </c>
    </row>
    <row r="49" spans="3:4" x14ac:dyDescent="0.3">
      <c r="C49" s="3" t="s">
        <v>16</v>
      </c>
      <c r="D49" s="11">
        <f>'[1]Market Data '!H8/[1]Raw_Financial!D34</f>
        <v>6.8780909944578443</v>
      </c>
    </row>
    <row r="50" spans="3:4" x14ac:dyDescent="0.3">
      <c r="C50" s="3" t="s">
        <v>17</v>
      </c>
      <c r="D50" s="9">
        <f>'[1]Market Data '!H8+'[1]Market Data '!H9-'[1]Market Data '!H10</f>
        <v>398636</v>
      </c>
    </row>
    <row r="51" spans="3:4" x14ac:dyDescent="0.3">
      <c r="C51" s="3" t="s">
        <v>18</v>
      </c>
      <c r="D51" s="6">
        <f>D50/'[1]Market Data '!H11</f>
        <v>16.106505050505049</v>
      </c>
    </row>
    <row r="55" spans="3:4" ht="18.600000000000001" thickBot="1" x14ac:dyDescent="0.35">
      <c r="C55" s="10" t="s">
        <v>20</v>
      </c>
      <c r="D55" s="1"/>
    </row>
    <row r="56" spans="3:4" ht="15" thickTop="1" x14ac:dyDescent="0.3">
      <c r="C56" s="2" t="s">
        <v>0</v>
      </c>
    </row>
    <row r="57" spans="3:4" x14ac:dyDescent="0.3">
      <c r="C57" s="3" t="s">
        <v>1</v>
      </c>
      <c r="D57" s="4">
        <f>[1]Raw_Financial!D48/[1]Raw_Financial!D47</f>
        <v>0.59153323514040002</v>
      </c>
    </row>
    <row r="58" spans="3:4" x14ac:dyDescent="0.3">
      <c r="C58" s="3" t="s">
        <v>2</v>
      </c>
      <c r="D58" s="4">
        <f>[1]Raw_Financial!D49/[1]Raw_Financial!D47</f>
        <v>0.14871478120397205</v>
      </c>
    </row>
    <row r="59" spans="3:4" x14ac:dyDescent="0.3">
      <c r="C59" s="3" t="s">
        <v>3</v>
      </c>
      <c r="D59" s="4">
        <f>[1]Raw_Financial!D50/[1]Raw_Financial!D47</f>
        <v>9.6830902266356253E-2</v>
      </c>
    </row>
    <row r="60" spans="3:4" x14ac:dyDescent="0.3">
      <c r="C60" s="3" t="s">
        <v>4</v>
      </c>
      <c r="D60" s="4">
        <f>[1]Raw_Financial!D50/[1]Raw_Financial!D54</f>
        <v>0.12138177486599167</v>
      </c>
    </row>
    <row r="61" spans="3:4" x14ac:dyDescent="0.3">
      <c r="C61" s="3" t="s">
        <v>5</v>
      </c>
      <c r="D61" s="4">
        <f>[1]Raw_Financial!D50/[1]Raw_Financial!D55</f>
        <v>3.6007067137809186</v>
      </c>
    </row>
    <row r="63" spans="3:4" x14ac:dyDescent="0.3">
      <c r="C63" s="2" t="s">
        <v>6</v>
      </c>
    </row>
    <row r="64" spans="3:4" x14ac:dyDescent="0.3">
      <c r="C64" s="3" t="s">
        <v>7</v>
      </c>
      <c r="D64" s="4">
        <f>([1]Raw_Financial!D47/[1]Raw_Financial!H47)^(1/4)-1</f>
        <v>4.0348052001791368E-2</v>
      </c>
    </row>
    <row r="65" spans="3:4" x14ac:dyDescent="0.3">
      <c r="C65" s="3" t="s">
        <v>8</v>
      </c>
      <c r="D65" s="4">
        <f>([1]Raw_Financial!$D$49/[1]Raw_Financial!$H$49)^(1/4)-1</f>
        <v>1.9879766777048058E-2</v>
      </c>
    </row>
    <row r="66" spans="3:4" x14ac:dyDescent="0.3">
      <c r="C66" s="3" t="s">
        <v>9</v>
      </c>
      <c r="D66" s="4">
        <f>([1]Raw_Financial!$D$50/[1]Raw_Financial!$H$50)^(1/4)-1</f>
        <v>3.3692796479837916E-2</v>
      </c>
    </row>
    <row r="67" spans="3:4" x14ac:dyDescent="0.3">
      <c r="C67" s="3" t="s">
        <v>10</v>
      </c>
      <c r="D67" s="4">
        <f>([1]Raw_Financial!D53/[1]Raw_Financial!G53)^(1/3)-1</f>
        <v>-2.848096122266186E-2</v>
      </c>
    </row>
    <row r="69" spans="3:4" x14ac:dyDescent="0.3">
      <c r="C69" s="5" t="s">
        <v>11</v>
      </c>
    </row>
    <row r="70" spans="3:4" x14ac:dyDescent="0.3">
      <c r="C70" s="3" t="s">
        <v>12</v>
      </c>
      <c r="D70" s="6">
        <f>'[1]Market Data '!L9/[1]Raw_Financial!D73</f>
        <v>4.194236926360726</v>
      </c>
    </row>
    <row r="71" spans="3:4" x14ac:dyDescent="0.3">
      <c r="C71" s="3" t="s">
        <v>13</v>
      </c>
      <c r="D71" s="7">
        <f>'[1]Market Data '!L10/'[1]Market Data '!L9</f>
        <v>0.18447837150127228</v>
      </c>
    </row>
    <row r="73" spans="3:4" x14ac:dyDescent="0.3">
      <c r="C73" s="2" t="s">
        <v>14</v>
      </c>
    </row>
    <row r="74" spans="3:4" x14ac:dyDescent="0.3">
      <c r="C74" s="3" t="s">
        <v>15</v>
      </c>
      <c r="D74" s="6">
        <f>'[1]Market Data '!L6/[1]Raw_Financial!D53</f>
        <v>36.484251968503941</v>
      </c>
    </row>
    <row r="75" spans="3:4" x14ac:dyDescent="0.3">
      <c r="C75" s="3" t="s">
        <v>16</v>
      </c>
      <c r="D75" s="11">
        <f>'[1]Market Data '!L8/[1]Raw_Financial!D55</f>
        <v>130.8833922261484</v>
      </c>
    </row>
    <row r="76" spans="3:4" x14ac:dyDescent="0.3">
      <c r="C76" s="3" t="s">
        <v>17</v>
      </c>
      <c r="D76" s="9">
        <f>'[1]Market Data '!L8+'[1]Market Data '!L9-'[1]Market Data '!L10</f>
        <v>80490</v>
      </c>
    </row>
    <row r="77" spans="3:4" x14ac:dyDescent="0.3">
      <c r="C77" s="3" t="s">
        <v>18</v>
      </c>
      <c r="D77" s="6">
        <f>D76/'[1]Market Data '!L11</f>
        <v>16.162650602409638</v>
      </c>
    </row>
    <row r="81" spans="3:4" ht="18.600000000000001" thickBot="1" x14ac:dyDescent="0.35">
      <c r="C81" s="10" t="s">
        <v>21</v>
      </c>
      <c r="D81" s="1"/>
    </row>
    <row r="82" spans="3:4" ht="15" thickTop="1" x14ac:dyDescent="0.3">
      <c r="C82" s="2" t="s">
        <v>0</v>
      </c>
    </row>
    <row r="83" spans="3:4" x14ac:dyDescent="0.3">
      <c r="C83" s="3" t="s">
        <v>1</v>
      </c>
      <c r="D83" s="4">
        <f>[1]Raw_Financial!D66/[1]Raw_Financial!D65</f>
        <v>0.36761158021712909</v>
      </c>
    </row>
    <row r="84" spans="3:4" x14ac:dyDescent="0.3">
      <c r="C84" s="3" t="s">
        <v>2</v>
      </c>
      <c r="D84" s="4">
        <f>[1]Raw_Financial!D67/[1]Raw_Financial!D65</f>
        <v>0.15162846803377564</v>
      </c>
    </row>
    <row r="85" spans="3:4" x14ac:dyDescent="0.3">
      <c r="C85" s="3" t="s">
        <v>3</v>
      </c>
      <c r="D85" s="4">
        <f>[1]Raw_Financial!D68/[1]Raw_Financial!D65</f>
        <v>0.11791314837153197</v>
      </c>
    </row>
    <row r="86" spans="3:4" x14ac:dyDescent="0.3">
      <c r="C86" s="3" t="s">
        <v>4</v>
      </c>
      <c r="D86" s="4">
        <f>[1]Raw_Financial!D68/[1]Raw_Financial!D72</f>
        <v>0.10536811469224965</v>
      </c>
    </row>
    <row r="87" spans="3:4" x14ac:dyDescent="0.3">
      <c r="C87" s="3" t="s">
        <v>5</v>
      </c>
      <c r="D87" s="4">
        <f>[1]Raw_Financial!D68/[1]Raw_Financial!D73</f>
        <v>1.0432230522945571</v>
      </c>
    </row>
    <row r="89" spans="3:4" x14ac:dyDescent="0.3">
      <c r="C89" s="2" t="s">
        <v>6</v>
      </c>
    </row>
    <row r="90" spans="3:4" x14ac:dyDescent="0.3">
      <c r="C90" s="3" t="s">
        <v>7</v>
      </c>
      <c r="D90" s="4">
        <f>([1]Raw_Financial!D65/[1]Raw_Financial!H65)^(1/4)-1</f>
        <v>2.7326807029341982E-3</v>
      </c>
    </row>
    <row r="91" spans="3:4" x14ac:dyDescent="0.3">
      <c r="C91" s="3" t="s">
        <v>8</v>
      </c>
      <c r="D91" s="4">
        <f>([1]Raw_Financial!$D$67/[1]Raw_Financial!$H$67)^(1/4)-1</f>
        <v>3.3916933187891019E-2</v>
      </c>
    </row>
    <row r="92" spans="3:4" x14ac:dyDescent="0.3">
      <c r="C92" s="3" t="s">
        <v>9</v>
      </c>
      <c r="D92" s="4">
        <f>([1]Raw_Financial!$D$68/[1]Raw_Financial!$H$68)^(1/4)-1</f>
        <v>2.7035972466620262E-3</v>
      </c>
    </row>
    <row r="93" spans="3:4" x14ac:dyDescent="0.3">
      <c r="C93" s="3" t="s">
        <v>10</v>
      </c>
      <c r="D93" s="4">
        <f>([1]Raw_Financial!D71/[1]Raw_Financial!G71)^(1/3)-1</f>
        <v>4.0559198337166924E-2</v>
      </c>
    </row>
    <row r="95" spans="3:4" x14ac:dyDescent="0.3">
      <c r="C95" s="5" t="s">
        <v>11</v>
      </c>
    </row>
    <row r="96" spans="3:4" x14ac:dyDescent="0.3">
      <c r="C96" s="3" t="s">
        <v>12</v>
      </c>
      <c r="D96" s="6">
        <f>'[1]Market Data '!D20/[1]Raw_Financial!D73</f>
        <v>3.4898612593383138</v>
      </c>
    </row>
    <row r="97" spans="3:4" x14ac:dyDescent="0.3">
      <c r="C97" s="3" t="s">
        <v>13</v>
      </c>
      <c r="D97" s="6">
        <f>'[1]Market Data '!D21/'[1]Market Data '!D20</f>
        <v>0.14617737003058104</v>
      </c>
    </row>
    <row r="99" spans="3:4" x14ac:dyDescent="0.3">
      <c r="C99" s="2" t="s">
        <v>14</v>
      </c>
    </row>
    <row r="100" spans="3:4" x14ac:dyDescent="0.3">
      <c r="C100" s="3" t="s">
        <v>15</v>
      </c>
      <c r="D100" s="6">
        <f>'[1]Market Data '!D17/[1]Raw_Financial!D71</f>
        <v>17.729131175468481</v>
      </c>
    </row>
    <row r="101" spans="3:4" x14ac:dyDescent="0.3">
      <c r="C101" s="3" t="s">
        <v>16</v>
      </c>
      <c r="D101" s="11">
        <f>'[1]Market Data '!D19/[1]Raw_Financial!D73</f>
        <v>18.422091782283886</v>
      </c>
    </row>
    <row r="102" spans="3:4" x14ac:dyDescent="0.3">
      <c r="C102" s="3" t="s">
        <v>17</v>
      </c>
      <c r="D102" s="9">
        <f>'[1]Market Data '!D19+'[1]Market Data '!D20-'[1]Market Data '!D21</f>
        <v>40107</v>
      </c>
    </row>
    <row r="103" spans="3:4" x14ac:dyDescent="0.3">
      <c r="C103" s="3" t="s">
        <v>18</v>
      </c>
      <c r="D103" s="6">
        <f>D102/'[1]Market Data '!D22</f>
        <v>11.525</v>
      </c>
    </row>
    <row r="107" spans="3:4" ht="18.600000000000001" thickBot="1" x14ac:dyDescent="0.35">
      <c r="C107" s="10" t="s">
        <v>22</v>
      </c>
      <c r="D107" s="1"/>
    </row>
    <row r="108" spans="3:4" ht="15" thickTop="1" x14ac:dyDescent="0.3">
      <c r="C108" s="2" t="s">
        <v>0</v>
      </c>
    </row>
    <row r="109" spans="3:4" x14ac:dyDescent="0.3">
      <c r="C109" s="3" t="s">
        <v>1</v>
      </c>
      <c r="D109" s="4">
        <f>[1]Raw_Financial!D85/[1]Raw_Financial!D84</f>
        <v>0.45648649082531984</v>
      </c>
    </row>
    <row r="110" spans="3:4" x14ac:dyDescent="0.3">
      <c r="C110" s="3" t="s">
        <v>2</v>
      </c>
      <c r="D110" s="4">
        <f>[1]Raw_Financial!D86/[1]Raw_Financial!D84</f>
        <v>0.17466407667239248</v>
      </c>
    </row>
    <row r="111" spans="3:4" x14ac:dyDescent="0.3">
      <c r="C111" s="3" t="s">
        <v>3</v>
      </c>
      <c r="D111" s="4">
        <f>[1]Raw_Financial!D87/[1]Raw_Financial!D84</f>
        <v>0.11956783483970396</v>
      </c>
    </row>
    <row r="112" spans="3:4" x14ac:dyDescent="0.3">
      <c r="C112" s="3" t="s">
        <v>4</v>
      </c>
      <c r="D112" s="4">
        <f>[1]Raw_Financial!D87/[1]Raw_Financial!D91</f>
        <v>8.1794919665703889E-2</v>
      </c>
    </row>
    <row r="113" spans="3:4" x14ac:dyDescent="0.3">
      <c r="C113" s="3" t="s">
        <v>5</v>
      </c>
      <c r="D113" s="4">
        <f>[1]Raw_Financial!D87/[1]Raw_Financial!D92</f>
        <v>0.17130502783016696</v>
      </c>
    </row>
    <row r="115" spans="3:4" x14ac:dyDescent="0.3">
      <c r="C115" s="2" t="s">
        <v>6</v>
      </c>
    </row>
    <row r="116" spans="3:4" x14ac:dyDescent="0.3">
      <c r="C116" s="3" t="s">
        <v>7</v>
      </c>
      <c r="D116" s="4">
        <f>([1]Raw_Financial!D84/[1]Raw_Financial!H84)^(1/4)-1</f>
        <v>3.7527434950005212E-2</v>
      </c>
    </row>
    <row r="117" spans="3:4" x14ac:dyDescent="0.3">
      <c r="C117" s="3" t="s">
        <v>8</v>
      </c>
      <c r="D117" s="4">
        <f>([1]Raw_Financial!$D$86/[1]Raw_Financial!$H$86)^(1/4)-1</f>
        <v>0.16149741120892536</v>
      </c>
    </row>
    <row r="118" spans="3:4" x14ac:dyDescent="0.3">
      <c r="C118" s="3" t="s">
        <v>9</v>
      </c>
      <c r="D118" s="4">
        <f>([1]Raw_Financial!$D$87/[1]Raw_Financial!$H$87)^(1/4)-1</f>
        <v>0.15820666660968863</v>
      </c>
    </row>
    <row r="119" spans="3:4" x14ac:dyDescent="0.3">
      <c r="C119" s="3" t="s">
        <v>10</v>
      </c>
      <c r="D119" s="4">
        <f>([1]Raw_Financial!D90/[1]Raw_Financial!G90)^(1/3)-1</f>
        <v>7.5924815563626069E-3</v>
      </c>
    </row>
    <row r="121" spans="3:4" x14ac:dyDescent="0.3">
      <c r="C121" s="5" t="s">
        <v>11</v>
      </c>
    </row>
    <row r="122" spans="3:4" x14ac:dyDescent="0.3">
      <c r="C122" s="3" t="s">
        <v>12</v>
      </c>
      <c r="D122" s="6">
        <f>'[1]Market Data '!H20/[1]Raw_Financial!D92</f>
        <v>0.55890335342012054</v>
      </c>
    </row>
    <row r="123" spans="3:4" x14ac:dyDescent="0.3">
      <c r="C123" s="3" t="s">
        <v>13</v>
      </c>
      <c r="D123" s="6">
        <f>'[1]Market Data '!H21/'[1]Market Data '!H20</f>
        <v>0.10485596707818931</v>
      </c>
    </row>
    <row r="125" spans="3:4" x14ac:dyDescent="0.3">
      <c r="C125" s="2" t="s">
        <v>14</v>
      </c>
    </row>
    <row r="126" spans="3:4" x14ac:dyDescent="0.3">
      <c r="C126" s="3" t="s">
        <v>15</v>
      </c>
      <c r="D126" s="11">
        <f>'[1]Market Data '!H17/[1]Raw_Financial!D90</f>
        <v>33.03846153846154</v>
      </c>
    </row>
    <row r="127" spans="3:4" x14ac:dyDescent="0.3">
      <c r="C127" s="3" t="s">
        <v>16</v>
      </c>
      <c r="D127" s="11">
        <f>'[1]Market Data '!H19/[1]Raw_Financial!D92</f>
        <v>5.6118036708220247</v>
      </c>
    </row>
    <row r="128" spans="3:4" x14ac:dyDescent="0.3">
      <c r="C128" s="3" t="s">
        <v>17</v>
      </c>
      <c r="D128" s="12">
        <f>'[1]Market Data '!H19+'[1]Market Data '!H20-'[1]Market Data '!H21</f>
        <v>26574.2</v>
      </c>
    </row>
    <row r="129" spans="3:4" x14ac:dyDescent="0.3">
      <c r="C129" s="3" t="s">
        <v>18</v>
      </c>
      <c r="D129" s="13">
        <f>D128/'[1]Market Data '!H22</f>
        <v>19.684592592592594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2026-10-23T15:51:20Z</dcterms:modified>
</cp:coreProperties>
</file>